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5abbdc51a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b4e460a52b4d86"/>
    <x:sheet xmlns:r="http://schemas.openxmlformats.org/officeDocument/2006/relationships" name="Source Categories" sheetId="2" r:id="Rfc60ddb7bdbf40e8"/>
    <x:sheet xmlns:r="http://schemas.openxmlformats.org/officeDocument/2006/relationships" name="Country Distributions" sheetId="3" r:id="R5dc59c692f0b4549"/>
    <x:sheet xmlns:r="http://schemas.openxmlformats.org/officeDocument/2006/relationships" name="Derived Contrasts" sheetId="4" r:id="Rb1b151447870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6"/>
      <x:color rgb="FFFFFFFF"/>
      <x:name val="Aptos Display"/>
    </x:font>
    <x:font>
      <x:b/>
      <x:sz val="9"/>
      <x:color rgb="FFFFFFFF"/>
      <x:name val="Aptos"/>
    </x:font>
    <x:font>
      <x:sz val="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6E6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b1547b0d64294" /><Relationship Type="http://schemas.openxmlformats.org/officeDocument/2006/relationships/theme" Target="/xl/theme/theme1.xml" Id="Ree6bceffd9e74837" /><Relationship Type="http://schemas.microsoft.com/office/2022/11/relationships/FeaturePropertyBag" Target="/xl/featurePropertyBag/featurePropertyBag.xml" Id="Raa10be9cf7fc4966" /><Relationship Type="http://schemas.openxmlformats.org/officeDocument/2006/relationships/sharedStrings" Target="/xl/sharedStrings.xml" Id="R8746688318a74d8a" /><Relationship Type="http://schemas.openxmlformats.org/officeDocument/2006/relationships/worksheet" Target="/xl/worksheets/sheet1.xml" Id="R09b4e460a52b4d86" /><Relationship Type="http://schemas.openxmlformats.org/officeDocument/2006/relationships/worksheet" Target="/xl/worksheets/sheet2.xml" Id="Rfc60ddb7bdbf40e8" /><Relationship Type="http://schemas.openxmlformats.org/officeDocument/2006/relationships/worksheet" Target="/xl/worksheets/sheet3.xml" Id="R5dc59c692f0b4549" /><Relationship Type="http://schemas.openxmlformats.org/officeDocument/2006/relationships/worksheet" Target="/xl/worksheets/sheet4.xml" Id="Rb1b15144787042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donSourceCategories" displayName="RadonSourceCategories" ref="A1:R73" headerRowCount="1" totalsRowCount="0" totalsRowShown="0">
  <x:tableColumns count="18">
    <x:tableColumn id="1" name="study_id"/>
    <x:tableColumn id="2" name="study"/>
    <x:tableColumn id="3" name="year"/>
    <x:tableColumn id="4" name="country"/>
    <x:tableColumn id="5" name="cases_total"/>
    <x:tableColumn id="6" name="controls_total"/>
    <x:tableColumn id="7" name="category_order"/>
    <x:tableColumn id="8" name="reported_level"/>
    <x:tableColumn id="9" name="lower_bq_m3"/>
    <x:tableColumn id="10" name="upper_bq_m3"/>
    <x:tableColumn id="11" name="open_upper"/>
    <x:tableColumn id="12" name="reference"/>
    <x:tableColumn id="13" name="adjusted_or"/>
    <x:tableColumn id="14" name="ci_lower"/>
    <x:tableColumn id="15" name="ci_upper"/>
    <x:tableColumn id="16" name="exposure_metric"/>
    <x:tableColumn id="17" name="source_location"/>
    <x:tableColumn id="18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donCountryDistributions" displayName="RadonCountryDistributions" ref="A1:M10" headerRowCount="1" totalsRowCount="0" totalsRowShown="0">
  <x:tableColumns count="13">
    <x:tableColumn id="1" name="country"/>
    <x:tableColumn id="2" name="primary_am_bq_m3"/>
    <x:tableColumn id="3" name="primary_gm_bq_m3"/>
    <x:tableColumn id="4" name="primary_gsd"/>
    <x:tableColumn id="5" name="primary_source"/>
    <x:tableColumn id="6" name="primary_source_url"/>
    <x:tableColumn id="7" name="sensitivity_am_2024"/>
    <x:tableColumn id="8" name="sensitivity_gm_2024"/>
    <x:tableColumn id="9" name="sensitivity_gsd_2024"/>
    <x:tableColumn id="10" name="sensitivity_source"/>
    <x:tableColumn id="11" name="sensitivity_source_url"/>
    <x:tableColumn id="12" name="notes"/>
    <x:tableColumn id="13" name="gsd_derivation_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donDerivedContrasts" displayName="RadonDerivedContrasts" ref="A1:Y57" headerRowCount="1" totalsRowCount="0" totalsRowShown="0">
  <x:tableColumns count="25">
    <x:tableColumn id="1" name="study_id"/>
    <x:tableColumn id="2" name="study"/>
    <x:tableColumn id="3" name="year"/>
    <x:tableColumn id="4" name="country"/>
    <x:tableColumn id="5" name="comparison_level"/>
    <x:tableColumn id="6" name="comparison_lower"/>
    <x:tableColumn id="7" name="comparison_upper"/>
    <x:tableColumn id="8" name="reference_level"/>
    <x:tableColumn id="9" name="reference_lower"/>
    <x:tableColumn id="10" name="reference_upper"/>
    <x:tableColumn id="11" name="adjusted_or"/>
    <x:tableColumn id="12" name="ci_lower"/>
    <x:tableColumn id="13" name="ci_upper"/>
    <x:tableColumn id="14" name="primary_gm"/>
    <x:tableColumn id="15" name="primary_gsd"/>
    <x:tableColumn id="16" name="log_or"/>
    <x:tableColumn id="17" name="se_log_or"/>
    <x:tableColumn id="18" name="comparison_conditional_mean"/>
    <x:tableColumn id="19" name="reference_conditional_mean"/>
    <x:tableColumn id="20" name="x_conditional_mean"/>
    <x:tableColumn id="21" name="comparison_midpoint_1.2L"/>
    <x:tableColumn id="22" name="reference_midpoint"/>
    <x:tableColumn id="23" name="x_midpoint_1.2L"/>
    <x:tableColumn id="24" name="source_url"/>
    <x:tableColumn id="2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c18d2799141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a08bcb5c3745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0c45545cb04a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8" customHeight="1">
      <x:c r="A1" s="22" t="str">
        <x:v>Residential radon and lung-cancer illustration</x:v>
      </x:c>
      <x:c r="B1" s="22"/>
      <x:c r="C1" s="22"/>
      <x:c r="D1" s="22"/>
      <x:c r="E1" s="22"/>
      <x:c r="F1" s="22"/>
      <x:c r="G1" s="22"/>
      <x:c r="H1" s="22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 ht="15" hidden="0" customHeight="1">
      <x:c r="A3" s="18" t="str">
        <x:v>Purpose</x:v>
      </x:c>
      <x:c r="B3" s="19" t="str">
        <x:v>Analysis-ready summary-level example for IntervalDRMA.</x:v>
      </x:c>
      <x:c r="C3" s="17"/>
      <x:c r="D3" s="17"/>
      <x:c r="E3" s="17"/>
      <x:c r="F3" s="17"/>
      <x:c r="G3" s="17"/>
      <x:c r="H3" s="17"/>
    </x:row>
    <x:row r="4" ht="15" hidden="0" customHeight="1">
      <x:c r="A4" s="18" t="str">
        <x:v>Disease source</x:v>
      </x:c>
      <x:c r="B4" s="19" t="str">
        <x:v>Pavia et al. (2003), Table 2: adjusted ORs, 95% CIs, and study-specific radon supports.</x:v>
      </x:c>
      <x:c r="C4" s="17"/>
      <x:c r="D4" s="17"/>
      <x:c r="E4" s="17"/>
      <x:c r="F4" s="17"/>
      <x:c r="G4" s="17"/>
      <x:c r="H4" s="17"/>
    </x:row>
    <x:row r="5" ht="15" hidden="0" customHeight="1">
      <x:c r="A5" s="18" t="str">
        <x:v>Included evidence</x:v>
      </x:c>
      <x:c r="B5" s="19" t="str">
        <x:v>16 studies; 56 non-reference contrasts measured as time-weighted Bq/m^3.</x:v>
      </x:c>
      <x:c r="C5" s="17"/>
      <x:c r="D5" s="17"/>
      <x:c r="E5" s="17"/>
      <x:c r="F5" s="17"/>
      <x:c r="G5" s="17"/>
      <x:c r="H5" s="17"/>
    </x:row>
    <x:row r="6" ht="15" hidden="0" customHeight="1">
      <x:c r="A6" s="18" t="str">
        <x:v>Excluded evidence</x:v>
      </x:c>
      <x:c r="B6" s="19" t="str">
        <x:v>Letourneau et al. (1994): cumulative exposure only; incompatible with the common Bq/m^3 scale.</x:v>
      </x:c>
      <x:c r="C6" s="17"/>
      <x:c r="D6" s="17"/>
      <x:c r="E6" s="17"/>
      <x:c r="F6" s="17"/>
      <x:c r="G6" s="17"/>
      <x:c r="H6" s="17"/>
    </x:row>
    <x:row r="7" ht="24" hidden="0" customHeight="1">
      <x:c r="A7" s="18" t="str">
        <x:v>Frequencies</x:v>
      </x:c>
      <x:c r="B7" s="19" t="str">
        <x:v>No exposure-category frequencies, event counts, denominators, or individual data are used by the estimator.</x:v>
      </x:c>
      <x:c r="C7" s="17"/>
      <x:c r="D7" s="17"/>
      <x:c r="E7" s="17"/>
      <x:c r="F7" s="17"/>
      <x:c r="G7" s="17"/>
      <x:c r="H7" s="17"/>
    </x:row>
    <x:row r="8" ht="24" hidden="0" customHeight="1">
      <x:c r="A8" s="18" t="str">
        <x:v>Primary distribution</x:v>
      </x:c>
      <x:c r="B8" s="19" t="str">
        <x:v>Country-specific Lognormal working distributions using approximately contemporaneous UNSCEAR 2000 / WHO 2009 survey parameters.</x:v>
      </x:c>
      <x:c r="C8" s="17"/>
      <x:c r="D8" s="17"/>
      <x:c r="E8" s="17"/>
      <x:c r="F8" s="17"/>
      <x:c r="G8" s="17"/>
      <x:c r="H8" s="17"/>
    </x:row>
    <x:row r="9" ht="15" hidden="0" customHeight="1">
      <x:c r="A9" s="18" t="str">
        <x:v>Distribution sensitivity</x:v>
      </x:c>
      <x:c r="B9" s="19" t="str">
        <x:v>Country-specific UNSCEAR 2024 parameters.</x:v>
      </x:c>
      <x:c r="C9" s="17"/>
      <x:c r="D9" s="17"/>
      <x:c r="E9" s="17"/>
      <x:c r="F9" s="17"/>
      <x:c r="G9" s="17"/>
      <x:c r="H9" s="17"/>
    </x:row>
    <x:row r="10" ht="36" hidden="0" customHeight="1">
      <x:c r="A10" s="18" t="str">
        <x:v>Boundary convention</x:v>
      </x:c>
      <x:c r="B10" s="19" t="str">
        <x:v>Integer-rounded categories are represented by contiguous half-unit cutpoints (for example, 74-147 becomes 73.5-147.5); explicitly reported decimal cutpoints are retained. Inclusion or exclusion of a boundary point has probability zero under a continuous distribution.</x:v>
      </x:c>
      <x:c r="C10" s="17"/>
      <x:c r="D10" s="17"/>
      <x:c r="E10" s="17"/>
      <x:c r="F10" s="17"/>
      <x:c r="G10" s="17"/>
      <x:c r="H10" s="17"/>
    </x:row>
    <x:row r="11" ht="15" hidden="0" customHeight="1">
      <x:c r="A11" s="18" t="str">
        <x:v>Primary source URL</x:v>
      </x:c>
      <x:c r="B11" s="19" t="str">
        <x:v>https://www.scielosp.org/pdf/bwho/2003.v81n10/732-738/en</x:v>
      </x:c>
      <x:c r="C11" s="17"/>
      <x:c r="D11" s="17"/>
      <x:c r="E11" s="17"/>
      <x:c r="F11" s="17"/>
      <x:c r="G11" s="17"/>
      <x:c r="H11" s="17"/>
    </x:row>
    <x:row r="12" ht="15" hidden="0" customHeight="1">
      <x:c r="A12" s="18" t="str">
        <x:v>Historical distribution URL</x:v>
      </x:c>
      <x:c r="B12" s="19" t="str">
        <x:v>https://www.unscear.org/docs/publications/2000/UNSCEAR_2000_Annex-B.pdf</x:v>
      </x:c>
      <x:c r="C12" s="17"/>
      <x:c r="D12" s="17"/>
      <x:c r="E12" s="17"/>
      <x:c r="F12" s="17"/>
      <x:c r="G12" s="17"/>
      <x:c r="H12" s="17"/>
    </x:row>
    <x:row r="13" ht="15" hidden="0" customHeight="1">
      <x:c r="A13" s="18" t="str">
        <x:v>WHO distribution URL</x:v>
      </x:c>
      <x:c r="B13" s="19" t="str">
        <x:v>https://www.who.int/publications/i/item/9789241547673</x:v>
      </x:c>
      <x:c r="C13" s="17"/>
      <x:c r="D13" s="17"/>
      <x:c r="E13" s="17"/>
      <x:c r="F13" s="17"/>
      <x:c r="G13" s="17"/>
      <x:c r="H13" s="17"/>
    </x:row>
    <x:row r="14">
      <x:c r="A14" s="19"/>
      <x:c r="B14" s="19"/>
      <x:c r="C14" s="17"/>
      <x:c r="D14" s="17"/>
      <x:c r="E14" s="17"/>
      <x:c r="F14" s="17"/>
      <x:c r="G14" s="17"/>
      <x:c r="H14" s="17"/>
    </x:row>
    <x:row r="15">
      <x:c r="A15" s="20" t="str">
        <x:v>Important interpretation</x:v>
      </x:c>
      <x:c r="B15" s="20"/>
      <x:c r="C15" s="21"/>
      <x:c r="D15" s="21"/>
      <x:c r="E15" s="21"/>
      <x:c r="F15" s="21"/>
      <x:c r="G15" s="21"/>
      <x:c r="H15" s="21"/>
    </x:row>
    <x:row r="16" ht="30" customHeight="1">
      <x:c r="A16" s="19" t="str">
        <x:v>The exposure distribution is an outcome-independent working model obtained from external residential surveys. National distributions need not equal the source-study participant distribution, so the 2024 specification and open-tail scoring scenarios are reported as sensitivities. The application demonstrates the support-to-design mapping; it is not a new causal radon-risk assessment.</x:v>
      </x:c>
      <x:c r="B16" s="19"/>
      <x:c r="C16" s="17"/>
      <x:c r="D16" s="17"/>
      <x:c r="E16" s="17"/>
      <x:c r="F16" s="17"/>
      <x:c r="G16" s="17"/>
      <x:c r="H16" s="17"/>
    </x:row>
    <x:row r="17" ht="30" customHeight="1">
      <x:c r="A17" s="19"/>
      <x:c r="B17" s="19"/>
      <x:c r="C17" s="17"/>
      <x:c r="D17" s="17"/>
      <x:c r="E17" s="17"/>
      <x:c r="F17" s="17"/>
      <x:c r="G17" s="17"/>
      <x:c r="H17" s="17"/>
    </x:row>
    <x:row r="18" ht="30" customHeight="1">
      <x:c r="A18" s="19"/>
      <x:c r="B18" s="19"/>
      <x:c r="C18" s="17"/>
      <x:c r="D18" s="17"/>
      <x:c r="E18" s="17"/>
      <x:c r="F18" s="17"/>
      <x:c r="G18" s="17"/>
      <x:c r="H18" s="17"/>
    </x:row>
  </x:sheetData>
  <x:mergeCells>
    <x:mergeCell ref="A1:H1"/>
    <x:mergeCell ref="A15:H15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9" hidden="0" customWidth="1"/>
    <x:col min="4" max="4" width="12" hidden="0" customWidth="1"/>
    <x:col min="5" max="5" width="11" hidden="0" customWidth="1"/>
    <x:col min="6" max="6" width="12.630000114440918" hidden="0" customWidth="1"/>
    <x:col min="7" max="7" width="13.380000114440918" hidden="0" customWidth="1"/>
    <x:col min="8" max="8" width="14" hidden="0" customWidth="1"/>
    <x:col min="9" max="9" width="12.130000114440918" hidden="0" customWidth="1"/>
    <x:col min="10" max="10" width="12.380000114440918" hidden="0" customWidth="1"/>
    <x:col min="11" max="11" width="11.25" hidden="0" customWidth="1"/>
    <x:col min="12" max="12" width="9.630000114440918" hidden="0" customWidth="1"/>
    <x:col min="13" max="13" width="11.130000114440918" hidden="0" customWidth="1"/>
    <x:col min="14" max="14" width="8.75" hidden="0" customWidth="1"/>
    <x:col min="15" max="15" width="9" hidden="0" customWidth="1"/>
    <x:col min="16" max="16" width="34" hidden="0" customWidth="1"/>
    <x:col min="17" max="17" width="24" hidden="0" customWidth="1"/>
    <x:col min="18" max="18" width="48" hidden="0" customWidth="1"/>
  </x:cols>
  <x:sheetData>
    <x:row r="1" ht="15" hidden="0" customHeight="1">
      <x:c r="A1" s="23" t="str">
        <x:v>study_id</x:v>
      </x:c>
      <x:c r="B1" s="23" t="str">
        <x:v>study</x:v>
      </x:c>
      <x:c r="C1" s="23" t="str">
        <x:v>year</x:v>
      </x:c>
      <x:c r="D1" s="23" t="str">
        <x:v>country</x:v>
      </x:c>
      <x:c r="E1" s="23" t="str">
        <x:v>cases_total</x:v>
      </x:c>
      <x:c r="F1" s="23" t="str">
        <x:v>controls_total</x:v>
      </x:c>
      <x:c r="G1" s="23" t="str">
        <x:v>category_order</x:v>
      </x:c>
      <x:c r="H1" s="23" t="str">
        <x:v>reported_level</x:v>
      </x:c>
      <x:c r="I1" s="23" t="str">
        <x:v>lower_bq_m3</x:v>
      </x:c>
      <x:c r="J1" s="23" t="str">
        <x:v>upper_bq_m3</x:v>
      </x:c>
      <x:c r="K1" s="23" t="str">
        <x:v>open_upper</x:v>
      </x:c>
      <x:c r="L1" s="23" t="str">
        <x:v>reference</x:v>
      </x:c>
      <x:c r="M1" s="23" t="str">
        <x:v>adjusted_or</x:v>
      </x:c>
      <x:c r="N1" s="23" t="str">
        <x:v>ci_lower</x:v>
      </x:c>
      <x:c r="O1" s="23" t="str">
        <x:v>ci_upper</x:v>
      </x:c>
      <x:c r="P1" s="23" t="str">
        <x:v>exposure_metric</x:v>
      </x:c>
      <x:c r="Q1" s="23" t="str">
        <x:v>source_location</x:v>
      </x:c>
      <x:c r="R1" s="23" t="str">
        <x:v>source_url</x:v>
      </x:c>
    </x:row>
    <x:row r="2" ht="15" hidden="0" customHeight="1">
      <x:c r="A2" s="30" t="str">
        <x:v>Blot1990</x:v>
      </x:c>
      <x:c r="B2" s="30" t="str">
        <x:v>Blot et al.</x:v>
      </x:c>
      <x:c r="C2" s="30" t="n">
        <x:v>1990</x:v>
      </x:c>
      <x:c r="D2" s="30" t="str">
        <x:v>China</x:v>
      </x:c>
      <x:c r="E2" s="30" t="n">
        <x:v>308</x:v>
      </x:c>
      <x:c r="F2" s="30" t="n">
        <x:v>356</x:v>
      </x:c>
      <x:c r="G2" s="30" t="n">
        <x:v>1</x:v>
      </x:c>
      <x:c r="H2" s="30" t="str">
        <x:v>&lt;74</x:v>
      </x:c>
      <x:c r="I2" s="31" t="n">
        <x:v>0</x:v>
      </x:c>
      <x:c r="J2" s="31" t="n">
        <x:v>73.5</x:v>
      </x:c>
      <x:c r="K2" s="32" t="b">
        <x:v>0</x:v>
      </x:c>
      <x:c r="L2" s="32" t="b">
        <x:v>1</x:v>
      </x:c>
      <x:c r="M2" s="31" t="n">
        <x:v>1</x:v>
      </x:c>
      <x:c r="N2" s="31"/>
      <x:c r="O2" s="31"/>
      <x:c r="P2" s="30" t="str">
        <x:v>Time-weighted mean radon concentration (Bq/m^3)</x:v>
      </x:c>
      <x:c r="Q2" s="30" t="str">
        <x:v>Pavia et al. (2003), Table 2</x:v>
      </x:c>
      <x:c r="R2" s="30" t="str">
        <x:v>https://www.scielosp.org/pdf/bwho/2003.v81n10/732-738/en</x:v>
      </x:c>
    </x:row>
    <x:row r="3" ht="15" hidden="0" customHeight="1">
      <x:c r="A3" s="30" t="str">
        <x:v>Blot1990</x:v>
      </x:c>
      <x:c r="B3" s="30" t="str">
        <x:v>Blot et al.</x:v>
      </x:c>
      <x:c r="C3" s="30" t="n">
        <x:v>1990</x:v>
      </x:c>
      <x:c r="D3" s="30" t="str">
        <x:v>China</x:v>
      </x:c>
      <x:c r="E3" s="30" t="n">
        <x:v>308</x:v>
      </x:c>
      <x:c r="F3" s="30" t="n">
        <x:v>356</x:v>
      </x:c>
      <x:c r="G3" s="30" t="n">
        <x:v>2</x:v>
      </x:c>
      <x:c r="H3" s="30" t="str">
        <x:v>74-147</x:v>
      </x:c>
      <x:c r="I3" s="31" t="n">
        <x:v>73.5</x:v>
      </x:c>
      <x:c r="J3" s="31" t="n">
        <x:v>147.5</x:v>
      </x:c>
      <x:c r="K3" s="32" t="b">
        <x:v>0</x:v>
      </x:c>
      <x:c r="L3" s="32" t="b">
        <x:v>0</x:v>
      </x:c>
      <x:c r="M3" s="31" t="n">
        <x:v>0.9</x:v>
      </x:c>
      <x:c r="N3" s="31" t="n">
        <x:v>0.6</x:v>
      </x:c>
      <x:c r="O3" s="31" t="n">
        <x:v>1.3</x:v>
      </x:c>
      <x:c r="P3" s="30" t="str">
        <x:v>Time-weighted mean radon concentration (Bq/m^3)</x:v>
      </x:c>
      <x:c r="Q3" s="30" t="str">
        <x:v>Pavia et al. (2003), Table 2</x:v>
      </x:c>
      <x:c r="R3" s="30" t="str">
        <x:v>https://www.scielosp.org/pdf/bwho/2003.v81n10/732-738/en</x:v>
      </x:c>
    </x:row>
    <x:row r="4" ht="15" hidden="0" customHeight="1">
      <x:c r="A4" s="30" t="str">
        <x:v>Blot1990</x:v>
      </x:c>
      <x:c r="B4" s="30" t="str">
        <x:v>Blot et al.</x:v>
      </x:c>
      <x:c r="C4" s="30" t="n">
        <x:v>1990</x:v>
      </x:c>
      <x:c r="D4" s="30" t="str">
        <x:v>China</x:v>
      </x:c>
      <x:c r="E4" s="30" t="n">
        <x:v>308</x:v>
      </x:c>
      <x:c r="F4" s="30" t="n">
        <x:v>356</x:v>
      </x:c>
      <x:c r="G4" s="30" t="n">
        <x:v>3</x:v>
      </x:c>
      <x:c r="H4" s="30" t="str">
        <x:v>148-295</x:v>
      </x:c>
      <x:c r="I4" s="31" t="n">
        <x:v>147.5</x:v>
      </x:c>
      <x:c r="J4" s="31" t="n">
        <x:v>295.5</x:v>
      </x:c>
      <x:c r="K4" s="32" t="b">
        <x:v>0</x:v>
      </x:c>
      <x:c r="L4" s="32" t="b">
        <x:v>0</x:v>
      </x:c>
      <x:c r="M4" s="31" t="n">
        <x:v>0.9</x:v>
      </x:c>
      <x:c r="N4" s="31" t="n">
        <x:v>0.5</x:v>
      </x:c>
      <x:c r="O4" s="31" t="n">
        <x:v>1.4</x:v>
      </x:c>
      <x:c r="P4" s="30" t="str">
        <x:v>Time-weighted mean radon concentration (Bq/m^3)</x:v>
      </x:c>
      <x:c r="Q4" s="30" t="str">
        <x:v>Pavia et al. (2003), Table 2</x:v>
      </x:c>
      <x:c r="R4" s="30" t="str">
        <x:v>https://www.scielosp.org/pdf/bwho/2003.v81n10/732-738/en</x:v>
      </x:c>
    </x:row>
    <x:row r="5" ht="15" hidden="0" customHeight="1">
      <x:c r="A5" s="30" t="str">
        <x:v>Blot1990</x:v>
      </x:c>
      <x:c r="B5" s="30" t="str">
        <x:v>Blot et al.</x:v>
      </x:c>
      <x:c r="C5" s="30" t="n">
        <x:v>1990</x:v>
      </x:c>
      <x:c r="D5" s="30" t="str">
        <x:v>China</x:v>
      </x:c>
      <x:c r="E5" s="30" t="n">
        <x:v>308</x:v>
      </x:c>
      <x:c r="F5" s="30" t="n">
        <x:v>356</x:v>
      </x:c>
      <x:c r="G5" s="30" t="n">
        <x:v>4</x:v>
      </x:c>
      <x:c r="H5" s="30" t="str">
        <x:v>&gt;=296</x:v>
      </x:c>
      <x:c r="I5" s="31" t="n">
        <x:v>295.5</x:v>
      </x:c>
      <x:c r="J5" s="31"/>
      <x:c r="K5" s="32" t="b">
        <x:v>1</x:v>
      </x:c>
      <x:c r="L5" s="32" t="b">
        <x:v>0</x:v>
      </x:c>
      <x:c r="M5" s="31" t="n">
        <x:v>0.7</x:v>
      </x:c>
      <x:c r="N5" s="31" t="n">
        <x:v>0.4</x:v>
      </x:c>
      <x:c r="O5" s="31" t="n">
        <x:v>1.3</x:v>
      </x:c>
      <x:c r="P5" s="30" t="str">
        <x:v>Time-weighted mean radon concentration (Bq/m^3)</x:v>
      </x:c>
      <x:c r="Q5" s="30" t="str">
        <x:v>Pavia et al. (2003), Table 2</x:v>
      </x:c>
      <x:c r="R5" s="30" t="str">
        <x:v>https://www.scielosp.org/pdf/bwho/2003.v81n10/732-738/en</x:v>
      </x:c>
    </x:row>
    <x:row r="6" ht="15" hidden="0" customHeight="1">
      <x:c r="A6" s="30" t="str">
        <x:v>Schoenberg1990</x:v>
      </x:c>
      <x:c r="B6" s="30" t="str">
        <x:v>Schoenberg et al.</x:v>
      </x:c>
      <x:c r="C6" s="30" t="n">
        <x:v>1990</x:v>
      </x:c>
      <x:c r="D6" s="30" t="str">
        <x:v>USA</x:v>
      </x:c>
      <x:c r="E6" s="30" t="n">
        <x:v>480</x:v>
      </x:c>
      <x:c r="F6" s="30" t="n">
        <x:v>442</x:v>
      </x:c>
      <x:c r="G6" s="30" t="n">
        <x:v>1</x:v>
      </x:c>
      <x:c r="H6" s="30" t="str">
        <x:v>&lt;37</x:v>
      </x:c>
      <x:c r="I6" s="31" t="n">
        <x:v>0</x:v>
      </x:c>
      <x:c r="J6" s="31" t="n">
        <x:v>36.5</x:v>
      </x:c>
      <x:c r="K6" s="32" t="b">
        <x:v>0</x:v>
      </x:c>
      <x:c r="L6" s="32" t="b">
        <x:v>1</x:v>
      </x:c>
      <x:c r="M6" s="31" t="n">
        <x:v>1</x:v>
      </x:c>
      <x:c r="N6" s="31"/>
      <x:c r="O6" s="31"/>
      <x:c r="P6" s="30" t="str">
        <x:v>Time-weighted mean radon concentration (Bq/m^3)</x:v>
      </x:c>
      <x:c r="Q6" s="30" t="str">
        <x:v>Pavia et al. (2003), Table 2</x:v>
      </x:c>
      <x:c r="R6" s="30" t="str">
        <x:v>https://www.scielosp.org/pdf/bwho/2003.v81n10/732-738/en</x:v>
      </x:c>
    </x:row>
    <x:row r="7" ht="15" hidden="0" customHeight="1">
      <x:c r="A7" s="30" t="str">
        <x:v>Schoenberg1990</x:v>
      </x:c>
      <x:c r="B7" s="30" t="str">
        <x:v>Schoenberg et al.</x:v>
      </x:c>
      <x:c r="C7" s="30" t="n">
        <x:v>1990</x:v>
      </x:c>
      <x:c r="D7" s="30" t="str">
        <x:v>USA</x:v>
      </x:c>
      <x:c r="E7" s="30" t="n">
        <x:v>480</x:v>
      </x:c>
      <x:c r="F7" s="30" t="n">
        <x:v>442</x:v>
      </x:c>
      <x:c r="G7" s="30" t="n">
        <x:v>2</x:v>
      </x:c>
      <x:c r="H7" s="30" t="str">
        <x:v>37-73</x:v>
      </x:c>
      <x:c r="I7" s="31" t="n">
        <x:v>36.5</x:v>
      </x:c>
      <x:c r="J7" s="31" t="n">
        <x:v>73.5</x:v>
      </x:c>
      <x:c r="K7" s="32" t="b">
        <x:v>0</x:v>
      </x:c>
      <x:c r="L7" s="32" t="b">
        <x:v>0</x:v>
      </x:c>
      <x:c r="M7" s="31" t="n">
        <x:v>1.2</x:v>
      </x:c>
      <x:c r="N7" s="31" t="n">
        <x:v>0.83</x:v>
      </x:c>
      <x:c r="O7" s="31" t="n">
        <x:v>1.7</x:v>
      </x:c>
      <x:c r="P7" s="30" t="str">
        <x:v>Time-weighted mean radon concentration (Bq/m^3)</x:v>
      </x:c>
      <x:c r="Q7" s="30" t="str">
        <x:v>Pavia et al. (2003), Table 2</x:v>
      </x:c>
      <x:c r="R7" s="30" t="str">
        <x:v>https://www.scielosp.org/pdf/bwho/2003.v81n10/732-738/en</x:v>
      </x:c>
    </x:row>
    <x:row r="8" ht="15" hidden="0" customHeight="1">
      <x:c r="A8" s="30" t="str">
        <x:v>Schoenberg1990</x:v>
      </x:c>
      <x:c r="B8" s="30" t="str">
        <x:v>Schoenberg et al.</x:v>
      </x:c>
      <x:c r="C8" s="30" t="n">
        <x:v>1990</x:v>
      </x:c>
      <x:c r="D8" s="30" t="str">
        <x:v>USA</x:v>
      </x:c>
      <x:c r="E8" s="30" t="n">
        <x:v>480</x:v>
      </x:c>
      <x:c r="F8" s="30" t="n">
        <x:v>442</x:v>
      </x:c>
      <x:c r="G8" s="30" t="n">
        <x:v>3</x:v>
      </x:c>
      <x:c r="H8" s="30" t="str">
        <x:v>74-147</x:v>
      </x:c>
      <x:c r="I8" s="31" t="n">
        <x:v>73.5</x:v>
      </x:c>
      <x:c r="J8" s="31" t="n">
        <x:v>147.5</x:v>
      </x:c>
      <x:c r="K8" s="32" t="b">
        <x:v>0</x:v>
      </x:c>
      <x:c r="L8" s="32" t="b">
        <x:v>0</x:v>
      </x:c>
      <x:c r="M8" s="31" t="n">
        <x:v>1.1</x:v>
      </x:c>
      <x:c r="N8" s="31" t="n">
        <x:v>0.55</x:v>
      </x:c>
      <x:c r="O8" s="31" t="n">
        <x:v>2.3</x:v>
      </x:c>
      <x:c r="P8" s="30" t="str">
        <x:v>Time-weighted mean radon concentration (Bq/m^3)</x:v>
      </x:c>
      <x:c r="Q8" s="30" t="str">
        <x:v>Pavia et al. (2003), Table 2</x:v>
      </x:c>
      <x:c r="R8" s="30" t="str">
        <x:v>https://www.scielosp.org/pdf/bwho/2003.v81n10/732-738/en</x:v>
      </x:c>
    </x:row>
    <x:row r="9" ht="15" hidden="0" customHeight="1">
      <x:c r="A9" s="30" t="str">
        <x:v>Schoenberg1990</x:v>
      </x:c>
      <x:c r="B9" s="30" t="str">
        <x:v>Schoenberg et al.</x:v>
      </x:c>
      <x:c r="C9" s="30" t="n">
        <x:v>1990</x:v>
      </x:c>
      <x:c r="D9" s="30" t="str">
        <x:v>USA</x:v>
      </x:c>
      <x:c r="E9" s="30" t="n">
        <x:v>480</x:v>
      </x:c>
      <x:c r="F9" s="30" t="n">
        <x:v>442</x:v>
      </x:c>
      <x:c r="G9" s="30" t="n">
        <x:v>4</x:v>
      </x:c>
      <x:c r="H9" s="30" t="str">
        <x:v>148-418</x:v>
      </x:c>
      <x:c r="I9" s="31" t="n">
        <x:v>147.5</x:v>
      </x:c>
      <x:c r="J9" s="31" t="n">
        <x:v>418.5</x:v>
      </x:c>
      <x:c r="K9" s="32" t="b">
        <x:v>0</x:v>
      </x:c>
      <x:c r="L9" s="32" t="b">
        <x:v>0</x:v>
      </x:c>
      <x:c r="M9" s="31" t="n">
        <x:v>8.7</x:v>
      </x:c>
      <x:c r="N9" s="31" t="n">
        <x:v>1.3</x:v>
      </x:c>
      <x:c r="O9" s="31" t="n">
        <x:v>57.8</x:v>
      </x:c>
      <x:c r="P9" s="30" t="str">
        <x:v>Time-weighted mean radon concentration (Bq/m^3)</x:v>
      </x:c>
      <x:c r="Q9" s="30" t="str">
        <x:v>Pavia et al. (2003), Table 2</x:v>
      </x:c>
      <x:c r="R9" s="30" t="str">
        <x:v>https://www.scielosp.org/pdf/bwho/2003.v81n10/732-738/en</x:v>
      </x:c>
    </x:row>
    <x:row r="10" ht="15" hidden="0" customHeight="1">
      <x:c r="A10" s="30" t="str">
        <x:v>Pershagen1992</x:v>
      </x:c>
      <x:c r="B10" s="30" t="str">
        <x:v>Pershagen et al.</x:v>
      </x:c>
      <x:c r="C10" s="30" t="n">
        <x:v>1992</x:v>
      </x:c>
      <x:c r="D10" s="30" t="str">
        <x:v>Sweden</x:v>
      </x:c>
      <x:c r="E10" s="30" t="n">
        <x:v>210</x:v>
      </x:c>
      <x:c r="F10" s="30" t="n">
        <x:v>209</x:v>
      </x:c>
      <x:c r="G10" s="30" t="n">
        <x:v>1</x:v>
      </x:c>
      <x:c r="H10" s="30" t="str">
        <x:v>&lt;75</x:v>
      </x:c>
      <x:c r="I10" s="31" t="n">
        <x:v>0</x:v>
      </x:c>
      <x:c r="J10" s="31" t="n">
        <x:v>74.5</x:v>
      </x:c>
      <x:c r="K10" s="32" t="b">
        <x:v>0</x:v>
      </x:c>
      <x:c r="L10" s="32" t="b">
        <x:v>1</x:v>
      </x:c>
      <x:c r="M10" s="31" t="n">
        <x:v>1</x:v>
      </x:c>
      <x:c r="N10" s="31"/>
      <x:c r="O10" s="31"/>
      <x:c r="P10" s="30" t="str">
        <x:v>Time-weighted mean radon concentration (Bq/m^3)</x:v>
      </x:c>
      <x:c r="Q10" s="30" t="str">
        <x:v>Pavia et al. (2003), Table 2</x:v>
      </x:c>
      <x:c r="R10" s="30" t="str">
        <x:v>https://www.scielosp.org/pdf/bwho/2003.v81n10/732-738/en</x:v>
      </x:c>
    </x:row>
    <x:row r="11" ht="15" hidden="0" customHeight="1">
      <x:c r="A11" s="30" t="str">
        <x:v>Pershagen1992</x:v>
      </x:c>
      <x:c r="B11" s="30" t="str">
        <x:v>Pershagen et al.</x:v>
      </x:c>
      <x:c r="C11" s="30" t="n">
        <x:v>1992</x:v>
      </x:c>
      <x:c r="D11" s="30" t="str">
        <x:v>Sweden</x:v>
      </x:c>
      <x:c r="E11" s="30" t="n">
        <x:v>210</x:v>
      </x:c>
      <x:c r="F11" s="30" t="n">
        <x:v>209</x:v>
      </x:c>
      <x:c r="G11" s="30" t="n">
        <x:v>2</x:v>
      </x:c>
      <x:c r="H11" s="30" t="str">
        <x:v>75-110</x:v>
      </x:c>
      <x:c r="I11" s="31" t="n">
        <x:v>74.5</x:v>
      </x:c>
      <x:c r="J11" s="31" t="n">
        <x:v>110.5</x:v>
      </x:c>
      <x:c r="K11" s="32" t="b">
        <x:v>0</x:v>
      </x:c>
      <x:c r="L11" s="32" t="b">
        <x:v>0</x:v>
      </x:c>
      <x:c r="M11" s="31" t="n">
        <x:v>1.2</x:v>
      </x:c>
      <x:c r="N11" s="31" t="n">
        <x:v>0.7</x:v>
      </x:c>
      <x:c r="O11" s="31" t="n">
        <x:v>2.1</x:v>
      </x:c>
      <x:c r="P11" s="30" t="str">
        <x:v>Time-weighted mean radon concentration (Bq/m^3)</x:v>
      </x:c>
      <x:c r="Q11" s="30" t="str">
        <x:v>Pavia et al. (2003), Table 2</x:v>
      </x:c>
      <x:c r="R11" s="30" t="str">
        <x:v>https://www.scielosp.org/pdf/bwho/2003.v81n10/732-738/en</x:v>
      </x:c>
    </x:row>
    <x:row r="12" ht="15" hidden="0" customHeight="1">
      <x:c r="A12" s="30" t="str">
        <x:v>Pershagen1992</x:v>
      </x:c>
      <x:c r="B12" s="30" t="str">
        <x:v>Pershagen et al.</x:v>
      </x:c>
      <x:c r="C12" s="30" t="n">
        <x:v>1992</x:v>
      </x:c>
      <x:c r="D12" s="30" t="str">
        <x:v>Sweden</x:v>
      </x:c>
      <x:c r="E12" s="30" t="n">
        <x:v>210</x:v>
      </x:c>
      <x:c r="F12" s="30" t="n">
        <x:v>209</x:v>
      </x:c>
      <x:c r="G12" s="30" t="n">
        <x:v>3</x:v>
      </x:c>
      <x:c r="H12" s="30" t="str">
        <x:v>111-150</x:v>
      </x:c>
      <x:c r="I12" s="31" t="n">
        <x:v>110.5</x:v>
      </x:c>
      <x:c r="J12" s="31" t="n">
        <x:v>150.5</x:v>
      </x:c>
      <x:c r="K12" s="32" t="b">
        <x:v>0</x:v>
      </x:c>
      <x:c r="L12" s="32" t="b">
        <x:v>0</x:v>
      </x:c>
      <x:c r="M12" s="31" t="n">
        <x:v>1.3</x:v>
      </x:c>
      <x:c r="N12" s="31" t="n">
        <x:v>0.7</x:v>
      </x:c>
      <x:c r="O12" s="31" t="n">
        <x:v>2.3</x:v>
      </x:c>
      <x:c r="P12" s="30" t="str">
        <x:v>Time-weighted mean radon concentration (Bq/m^3)</x:v>
      </x:c>
      <x:c r="Q12" s="30" t="str">
        <x:v>Pavia et al. (2003), Table 2</x:v>
      </x:c>
      <x:c r="R12" s="30" t="str">
        <x:v>https://www.scielosp.org/pdf/bwho/2003.v81n10/732-738/en</x:v>
      </x:c>
    </x:row>
    <x:row r="13" ht="15" hidden="0" customHeight="1">
      <x:c r="A13" s="30" t="str">
        <x:v>Pershagen1992</x:v>
      </x:c>
      <x:c r="B13" s="30" t="str">
        <x:v>Pershagen et al.</x:v>
      </x:c>
      <x:c r="C13" s="30" t="n">
        <x:v>1992</x:v>
      </x:c>
      <x:c r="D13" s="30" t="str">
        <x:v>Sweden</x:v>
      </x:c>
      <x:c r="E13" s="30" t="n">
        <x:v>210</x:v>
      </x:c>
      <x:c r="F13" s="30" t="n">
        <x:v>209</x:v>
      </x:c>
      <x:c r="G13" s="30" t="n">
        <x:v>4</x:v>
      </x:c>
      <x:c r="H13" s="30" t="str">
        <x:v>&gt;=151</x:v>
      </x:c>
      <x:c r="I13" s="31" t="n">
        <x:v>150.5</x:v>
      </x:c>
      <x:c r="J13" s="31"/>
      <x:c r="K13" s="32" t="b">
        <x:v>1</x:v>
      </x:c>
      <x:c r="L13" s="32" t="b">
        <x:v>0</x:v>
      </x:c>
      <x:c r="M13" s="31" t="n">
        <x:v>1.7</x:v>
      </x:c>
      <x:c r="N13" s="31" t="n">
        <x:v>1</x:v>
      </x:c>
      <x:c r="O13" s="31" t="n">
        <x:v>2.4</x:v>
      </x:c>
      <x:c r="P13" s="30" t="str">
        <x:v>Time-weighted mean radon concentration (Bq/m^3)</x:v>
      </x:c>
      <x:c r="Q13" s="30" t="str">
        <x:v>Pavia et al. (2003), Table 2</x:v>
      </x:c>
      <x:c r="R13" s="30" t="str">
        <x:v>https://www.scielosp.org/pdf/bwho/2003.v81n10/732-738/en</x:v>
      </x:c>
    </x:row>
    <x:row r="14" ht="15" hidden="0" customHeight="1">
      <x:c r="A14" s="30" t="str">
        <x:v>Alavanja1994</x:v>
      </x:c>
      <x:c r="B14" s="30" t="str">
        <x:v>Alavanja et al.</x:v>
      </x:c>
      <x:c r="C14" s="30" t="n">
        <x:v>1994</x:v>
      </x:c>
      <x:c r="D14" s="30" t="str">
        <x:v>USA</x:v>
      </x:c>
      <x:c r="E14" s="30" t="n">
        <x:v>538</x:v>
      </x:c>
      <x:c r="F14" s="30" t="n">
        <x:v>1183</x:v>
      </x:c>
      <x:c r="G14" s="30" t="n">
        <x:v>1</x:v>
      </x:c>
      <x:c r="H14" s="30" t="str">
        <x:v>&lt;30</x:v>
      </x:c>
      <x:c r="I14" s="31" t="n">
        <x:v>0</x:v>
      </x:c>
      <x:c r="J14" s="31" t="n">
        <x:v>29.5</x:v>
      </x:c>
      <x:c r="K14" s="32" t="b">
        <x:v>0</x:v>
      </x:c>
      <x:c r="L14" s="32" t="b">
        <x:v>1</x:v>
      </x:c>
      <x:c r="M14" s="31" t="n">
        <x:v>1</x:v>
      </x:c>
      <x:c r="N14" s="31"/>
      <x:c r="O14" s="31"/>
      <x:c r="P14" s="30" t="str">
        <x:v>Time-weighted mean radon concentration (Bq/m^3)</x:v>
      </x:c>
      <x:c r="Q14" s="30" t="str">
        <x:v>Pavia et al. (2003), Table 2</x:v>
      </x:c>
      <x:c r="R14" s="30" t="str">
        <x:v>https://www.scielosp.org/pdf/bwho/2003.v81n10/732-738/en</x:v>
      </x:c>
    </x:row>
    <x:row r="15" ht="15" hidden="0" customHeight="1">
      <x:c r="A15" s="30" t="str">
        <x:v>Alavanja1994</x:v>
      </x:c>
      <x:c r="B15" s="30" t="str">
        <x:v>Alavanja et al.</x:v>
      </x:c>
      <x:c r="C15" s="30" t="n">
        <x:v>1994</x:v>
      </x:c>
      <x:c r="D15" s="30" t="str">
        <x:v>USA</x:v>
      </x:c>
      <x:c r="E15" s="30" t="n">
        <x:v>538</x:v>
      </x:c>
      <x:c r="F15" s="30" t="n">
        <x:v>1183</x:v>
      </x:c>
      <x:c r="G15" s="30" t="n">
        <x:v>2</x:v>
      </x:c>
      <x:c r="H15" s="30" t="str">
        <x:v>30-43</x:v>
      </x:c>
      <x:c r="I15" s="31" t="n">
        <x:v>29.5</x:v>
      </x:c>
      <x:c r="J15" s="31" t="n">
        <x:v>43.5</x:v>
      </x:c>
      <x:c r="K15" s="32" t="b">
        <x:v>0</x:v>
      </x:c>
      <x:c r="L15" s="32" t="b">
        <x:v>0</x:v>
      </x:c>
      <x:c r="M15" s="31" t="n">
        <x:v>1.01</x:v>
      </x:c>
      <x:c r="N15" s="31" t="n">
        <x:v>0.7</x:v>
      </x:c>
      <x:c r="O15" s="31" t="n">
        <x:v>1.4</x:v>
      </x:c>
      <x:c r="P15" s="30" t="str">
        <x:v>Time-weighted mean radon concentration (Bq/m^3)</x:v>
      </x:c>
      <x:c r="Q15" s="30" t="str">
        <x:v>Pavia et al. (2003), Table 2</x:v>
      </x:c>
      <x:c r="R15" s="30" t="str">
        <x:v>https://www.scielosp.org/pdf/bwho/2003.v81n10/732-738/en</x:v>
      </x:c>
    </x:row>
    <x:row r="16" ht="15" hidden="0" customHeight="1">
      <x:c r="A16" s="30" t="str">
        <x:v>Alavanja1994</x:v>
      </x:c>
      <x:c r="B16" s="30" t="str">
        <x:v>Alavanja et al.</x:v>
      </x:c>
      <x:c r="C16" s="30" t="n">
        <x:v>1994</x:v>
      </x:c>
      <x:c r="D16" s="30" t="str">
        <x:v>USA</x:v>
      </x:c>
      <x:c r="E16" s="30" t="n">
        <x:v>538</x:v>
      </x:c>
      <x:c r="F16" s="30" t="n">
        <x:v>1183</x:v>
      </x:c>
      <x:c r="G16" s="30" t="n">
        <x:v>3</x:v>
      </x:c>
      <x:c r="H16" s="30" t="str">
        <x:v>44-63</x:v>
      </x:c>
      <x:c r="I16" s="31" t="n">
        <x:v>43.5</x:v>
      </x:c>
      <x:c r="J16" s="31" t="n">
        <x:v>63.5</x:v>
      </x:c>
      <x:c r="K16" s="32" t="b">
        <x:v>0</x:v>
      </x:c>
      <x:c r="L16" s="32" t="b">
        <x:v>0</x:v>
      </x:c>
      <x:c r="M16" s="31" t="n">
        <x:v>0.84</x:v>
      </x:c>
      <x:c r="N16" s="31" t="n">
        <x:v>0.6</x:v>
      </x:c>
      <x:c r="O16" s="31" t="n">
        <x:v>1.3</x:v>
      </x:c>
      <x:c r="P16" s="30" t="str">
        <x:v>Time-weighted mean radon concentration (Bq/m^3)</x:v>
      </x:c>
      <x:c r="Q16" s="30" t="str">
        <x:v>Pavia et al. (2003), Table 2</x:v>
      </x:c>
      <x:c r="R16" s="30" t="str">
        <x:v>https://www.scielosp.org/pdf/bwho/2003.v81n10/732-738/en</x:v>
      </x:c>
    </x:row>
    <x:row r="17" ht="15" hidden="0" customHeight="1">
      <x:c r="A17" s="30" t="str">
        <x:v>Alavanja1994</x:v>
      </x:c>
      <x:c r="B17" s="30" t="str">
        <x:v>Alavanja et al.</x:v>
      </x:c>
      <x:c r="C17" s="30" t="n">
        <x:v>1994</x:v>
      </x:c>
      <x:c r="D17" s="30" t="str">
        <x:v>USA</x:v>
      </x:c>
      <x:c r="E17" s="30" t="n">
        <x:v>538</x:v>
      </x:c>
      <x:c r="F17" s="30" t="n">
        <x:v>1183</x:v>
      </x:c>
      <x:c r="G17" s="30" t="n">
        <x:v>4</x:v>
      </x:c>
      <x:c r="H17" s="30" t="str">
        <x:v>64-91</x:v>
      </x:c>
      <x:c r="I17" s="31" t="n">
        <x:v>63.5</x:v>
      </x:c>
      <x:c r="J17" s="31" t="n">
        <x:v>91.5</x:v>
      </x:c>
      <x:c r="K17" s="32" t="b">
        <x:v>0</x:v>
      </x:c>
      <x:c r="L17" s="32" t="b">
        <x:v>0</x:v>
      </x:c>
      <x:c r="M17" s="31" t="n">
        <x:v>0.9</x:v>
      </x:c>
      <x:c r="N17" s="31" t="n">
        <x:v>0.6</x:v>
      </x:c>
      <x:c r="O17" s="31" t="n">
        <x:v>1.3</x:v>
      </x:c>
      <x:c r="P17" s="30" t="str">
        <x:v>Time-weighted mean radon concentration (Bq/m^3)</x:v>
      </x:c>
      <x:c r="Q17" s="30" t="str">
        <x:v>Pavia et al. (2003), Table 2</x:v>
      </x:c>
      <x:c r="R17" s="30" t="str">
        <x:v>https://www.scielosp.org/pdf/bwho/2003.v81n10/732-738/en</x:v>
      </x:c>
    </x:row>
    <x:row r="18" ht="15" hidden="0" customHeight="1">
      <x:c r="A18" s="30" t="str">
        <x:v>Alavanja1994</x:v>
      </x:c>
      <x:c r="B18" s="30" t="str">
        <x:v>Alavanja et al.</x:v>
      </x:c>
      <x:c r="C18" s="30" t="n">
        <x:v>1994</x:v>
      </x:c>
      <x:c r="D18" s="30" t="str">
        <x:v>USA</x:v>
      </x:c>
      <x:c r="E18" s="30" t="n">
        <x:v>538</x:v>
      </x:c>
      <x:c r="F18" s="30" t="n">
        <x:v>1183</x:v>
      </x:c>
      <x:c r="G18" s="30" t="n">
        <x:v>5</x:v>
      </x:c>
      <x:c r="H18" s="30" t="str">
        <x:v>&gt;91</x:v>
      </x:c>
      <x:c r="I18" s="31" t="n">
        <x:v>91.5</x:v>
      </x:c>
      <x:c r="J18" s="31"/>
      <x:c r="K18" s="32" t="b">
        <x:v>1</x:v>
      </x:c>
      <x:c r="L18" s="32" t="b">
        <x:v>0</x:v>
      </x:c>
      <x:c r="M18" s="31" t="n">
        <x:v>1.2</x:v>
      </x:c>
      <x:c r="N18" s="31" t="n">
        <x:v>0.9</x:v>
      </x:c>
      <x:c r="O18" s="31" t="n">
        <x:v>1.7</x:v>
      </x:c>
      <x:c r="P18" s="30" t="str">
        <x:v>Time-weighted mean radon concentration (Bq/m^3)</x:v>
      </x:c>
      <x:c r="Q18" s="30" t="str">
        <x:v>Pavia et al. (2003), Table 2</x:v>
      </x:c>
      <x:c r="R18" s="30" t="str">
        <x:v>https://www.scielosp.org/pdf/bwho/2003.v81n10/732-738/en</x:v>
      </x:c>
    </x:row>
    <x:row r="19" ht="15" hidden="0" customHeight="1">
      <x:c r="A19" s="30" t="str">
        <x:v>Pershagen1994</x:v>
      </x:c>
      <x:c r="B19" s="30" t="str">
        <x:v>Pershagen et al.</x:v>
      </x:c>
      <x:c r="C19" s="30" t="n">
        <x:v>1994</x:v>
      </x:c>
      <x:c r="D19" s="30" t="str">
        <x:v>Sweden</x:v>
      </x:c>
      <x:c r="E19" s="30" t="n">
        <x:v>1360</x:v>
      </x:c>
      <x:c r="F19" s="30" t="n">
        <x:v>2847</x:v>
      </x:c>
      <x:c r="G19" s="30" t="n">
        <x:v>1</x:v>
      </x:c>
      <x:c r="H19" s="30" t="str">
        <x:v>&lt;=50</x:v>
      </x:c>
      <x:c r="I19" s="31" t="n">
        <x:v>0</x:v>
      </x:c>
      <x:c r="J19" s="31" t="n">
        <x:v>50.5</x:v>
      </x:c>
      <x:c r="K19" s="32" t="b">
        <x:v>0</x:v>
      </x:c>
      <x:c r="L19" s="32" t="b">
        <x:v>1</x:v>
      </x:c>
      <x:c r="M19" s="31" t="n">
        <x:v>1</x:v>
      </x:c>
      <x:c r="N19" s="31"/>
      <x:c r="O19" s="31"/>
      <x:c r="P19" s="30" t="str">
        <x:v>Time-weighted mean radon concentration (Bq/m^3)</x:v>
      </x:c>
      <x:c r="Q19" s="30" t="str">
        <x:v>Pavia et al. (2003), Table 2</x:v>
      </x:c>
      <x:c r="R19" s="30" t="str">
        <x:v>https://www.scielosp.org/pdf/bwho/2003.v81n10/732-738/en</x:v>
      </x:c>
    </x:row>
    <x:row r="20" ht="15" hidden="0" customHeight="1">
      <x:c r="A20" s="30" t="str">
        <x:v>Pershagen1994</x:v>
      </x:c>
      <x:c r="B20" s="30" t="str">
        <x:v>Pershagen et al.</x:v>
      </x:c>
      <x:c r="C20" s="30" t="n">
        <x:v>1994</x:v>
      </x:c>
      <x:c r="D20" s="30" t="str">
        <x:v>Sweden</x:v>
      </x:c>
      <x:c r="E20" s="30" t="n">
        <x:v>1360</x:v>
      </x:c>
      <x:c r="F20" s="30" t="n">
        <x:v>2847</x:v>
      </x:c>
      <x:c r="G20" s="30" t="n">
        <x:v>2</x:v>
      </x:c>
      <x:c r="H20" s="30" t="str">
        <x:v>51-80</x:v>
      </x:c>
      <x:c r="I20" s="31" t="n">
        <x:v>50.5</x:v>
      </x:c>
      <x:c r="J20" s="31" t="n">
        <x:v>80.5</x:v>
      </x:c>
      <x:c r="K20" s="32" t="b">
        <x:v>0</x:v>
      </x:c>
      <x:c r="L20" s="32" t="b">
        <x:v>0</x:v>
      </x:c>
      <x:c r="M20" s="31" t="n">
        <x:v>1.1</x:v>
      </x:c>
      <x:c r="N20" s="31" t="n">
        <x:v>0.9</x:v>
      </x:c>
      <x:c r="O20" s="31" t="n">
        <x:v>1.3</x:v>
      </x:c>
      <x:c r="P20" s="30" t="str">
        <x:v>Time-weighted mean radon concentration (Bq/m^3)</x:v>
      </x:c>
      <x:c r="Q20" s="30" t="str">
        <x:v>Pavia et al. (2003), Table 2</x:v>
      </x:c>
      <x:c r="R20" s="30" t="str">
        <x:v>https://www.scielosp.org/pdf/bwho/2003.v81n10/732-738/en</x:v>
      </x:c>
    </x:row>
    <x:row r="21" ht="15" hidden="0" customHeight="1">
      <x:c r="A21" s="30" t="str">
        <x:v>Pershagen1994</x:v>
      </x:c>
      <x:c r="B21" s="30" t="str">
        <x:v>Pershagen et al.</x:v>
      </x:c>
      <x:c r="C21" s="30" t="n">
        <x:v>1994</x:v>
      </x:c>
      <x:c r="D21" s="30" t="str">
        <x:v>Sweden</x:v>
      </x:c>
      <x:c r="E21" s="30" t="n">
        <x:v>1360</x:v>
      </x:c>
      <x:c r="F21" s="30" t="n">
        <x:v>2847</x:v>
      </x:c>
      <x:c r="G21" s="30" t="n">
        <x:v>3</x:v>
      </x:c>
      <x:c r="H21" s="30" t="str">
        <x:v>81-140</x:v>
      </x:c>
      <x:c r="I21" s="31" t="n">
        <x:v>80.5</x:v>
      </x:c>
      <x:c r="J21" s="31" t="n">
        <x:v>140.5</x:v>
      </x:c>
      <x:c r="K21" s="32" t="b">
        <x:v>0</x:v>
      </x:c>
      <x:c r="L21" s="32" t="b">
        <x:v>0</x:v>
      </x:c>
      <x:c r="M21" s="31" t="n">
        <x:v>1</x:v>
      </x:c>
      <x:c r="N21" s="31" t="n">
        <x:v>0.8</x:v>
      </x:c>
      <x:c r="O21" s="31" t="n">
        <x:v>1.3</x:v>
      </x:c>
      <x:c r="P21" s="30" t="str">
        <x:v>Time-weighted mean radon concentration (Bq/m^3)</x:v>
      </x:c>
      <x:c r="Q21" s="30" t="str">
        <x:v>Pavia et al. (2003), Table 2</x:v>
      </x:c>
      <x:c r="R21" s="30" t="str">
        <x:v>https://www.scielosp.org/pdf/bwho/2003.v81n10/732-738/en</x:v>
      </x:c>
    </x:row>
    <x:row r="22" ht="15" hidden="0" customHeight="1">
      <x:c r="A22" s="30" t="str">
        <x:v>Pershagen1994</x:v>
      </x:c>
      <x:c r="B22" s="30" t="str">
        <x:v>Pershagen et al.</x:v>
      </x:c>
      <x:c r="C22" s="30" t="n">
        <x:v>1994</x:v>
      </x:c>
      <x:c r="D22" s="30" t="str">
        <x:v>Sweden</x:v>
      </x:c>
      <x:c r="E22" s="30" t="n">
        <x:v>1360</x:v>
      </x:c>
      <x:c r="F22" s="30" t="n">
        <x:v>2847</x:v>
      </x:c>
      <x:c r="G22" s="30" t="n">
        <x:v>4</x:v>
      </x:c>
      <x:c r="H22" s="30" t="str">
        <x:v>141-400</x:v>
      </x:c>
      <x:c r="I22" s="31" t="n">
        <x:v>140.5</x:v>
      </x:c>
      <x:c r="J22" s="31" t="n">
        <x:v>400.5</x:v>
      </x:c>
      <x:c r="K22" s="32" t="b">
        <x:v>0</x:v>
      </x:c>
      <x:c r="L22" s="32" t="b">
        <x:v>0</x:v>
      </x:c>
      <x:c r="M22" s="31" t="n">
        <x:v>1.3</x:v>
      </x:c>
      <x:c r="N22" s="31" t="n">
        <x:v>1.1</x:v>
      </x:c>
      <x:c r="O22" s="31" t="n">
        <x:v>1.6</x:v>
      </x:c>
      <x:c r="P22" s="30" t="str">
        <x:v>Time-weighted mean radon concentration (Bq/m^3)</x:v>
      </x:c>
      <x:c r="Q22" s="30" t="str">
        <x:v>Pavia et al. (2003), Table 2</x:v>
      </x:c>
      <x:c r="R22" s="30" t="str">
        <x:v>https://www.scielosp.org/pdf/bwho/2003.v81n10/732-738/en</x:v>
      </x:c>
    </x:row>
    <x:row r="23" ht="15" hidden="0" customHeight="1">
      <x:c r="A23" s="30" t="str">
        <x:v>Pershagen1994</x:v>
      </x:c>
      <x:c r="B23" s="30" t="str">
        <x:v>Pershagen et al.</x:v>
      </x:c>
      <x:c r="C23" s="30" t="n">
        <x:v>1994</x:v>
      </x:c>
      <x:c r="D23" s="30" t="str">
        <x:v>Sweden</x:v>
      </x:c>
      <x:c r="E23" s="30" t="n">
        <x:v>1360</x:v>
      </x:c>
      <x:c r="F23" s="30" t="n">
        <x:v>2847</x:v>
      </x:c>
      <x:c r="G23" s="30" t="n">
        <x:v>5</x:v>
      </x:c>
      <x:c r="H23" s="30" t="str">
        <x:v>&gt;400</x:v>
      </x:c>
      <x:c r="I23" s="31" t="n">
        <x:v>400.5</x:v>
      </x:c>
      <x:c r="J23" s="31"/>
      <x:c r="K23" s="32" t="b">
        <x:v>1</x:v>
      </x:c>
      <x:c r="L23" s="32" t="b">
        <x:v>0</x:v>
      </x:c>
      <x:c r="M23" s="31" t="n">
        <x:v>1.8</x:v>
      </x:c>
      <x:c r="N23" s="31" t="n">
        <x:v>1.1</x:v>
      </x:c>
      <x:c r="O23" s="31" t="n">
        <x:v>2.9</x:v>
      </x:c>
      <x:c r="P23" s="30" t="str">
        <x:v>Time-weighted mean radon concentration (Bq/m^3)</x:v>
      </x:c>
      <x:c r="Q23" s="30" t="str">
        <x:v>Pavia et al. (2003), Table 2</x:v>
      </x:c>
      <x:c r="R23" s="30" t="str">
        <x:v>https://www.scielosp.org/pdf/bwho/2003.v81n10/732-738/en</x:v>
      </x:c>
    </x:row>
    <x:row r="24" ht="15" hidden="0" customHeight="1">
      <x:c r="A24" s="30" t="str">
        <x:v>Auvinen1996</x:v>
      </x:c>
      <x:c r="B24" s="30" t="str">
        <x:v>Auvinen et al.</x:v>
      </x:c>
      <x:c r="C24" s="30" t="n">
        <x:v>1996</x:v>
      </x:c>
      <x:c r="D24" s="30" t="str">
        <x:v>Finland</x:v>
      </x:c>
      <x:c r="E24" s="30" t="n">
        <x:v>1055</x:v>
      </x:c>
      <x:c r="F24" s="30" t="n">
        <x:v>1544</x:v>
      </x:c>
      <x:c r="G24" s="30" t="n">
        <x:v>1</x:v>
      </x:c>
      <x:c r="H24" s="30" t="str">
        <x:v>&lt;=49</x:v>
      </x:c>
      <x:c r="I24" s="31" t="n">
        <x:v>0</x:v>
      </x:c>
      <x:c r="J24" s="31" t="n">
        <x:v>49.5</x:v>
      </x:c>
      <x:c r="K24" s="32" t="b">
        <x:v>0</x:v>
      </x:c>
      <x:c r="L24" s="32" t="b">
        <x:v>1</x:v>
      </x:c>
      <x:c r="M24" s="31" t="n">
        <x:v>1</x:v>
      </x:c>
      <x:c r="N24" s="31"/>
      <x:c r="O24" s="31"/>
      <x:c r="P24" s="30" t="str">
        <x:v>Time-weighted mean radon concentration (Bq/m^3)</x:v>
      </x:c>
      <x:c r="Q24" s="30" t="str">
        <x:v>Pavia et al. (2003), Table 2</x:v>
      </x:c>
      <x:c r="R24" s="30" t="str">
        <x:v>https://www.scielosp.org/pdf/bwho/2003.v81n10/732-738/en</x:v>
      </x:c>
    </x:row>
    <x:row r="25" ht="15" hidden="0" customHeight="1">
      <x:c r="A25" s="30" t="str">
        <x:v>Auvinen1996</x:v>
      </x:c>
      <x:c r="B25" s="30" t="str">
        <x:v>Auvinen et al.</x:v>
      </x:c>
      <x:c r="C25" s="30" t="n">
        <x:v>1996</x:v>
      </x:c>
      <x:c r="D25" s="30" t="str">
        <x:v>Finland</x:v>
      </x:c>
      <x:c r="E25" s="30" t="n">
        <x:v>1055</x:v>
      </x:c>
      <x:c r="F25" s="30" t="n">
        <x:v>1544</x:v>
      </x:c>
      <x:c r="G25" s="30" t="n">
        <x:v>2</x:v>
      </x:c>
      <x:c r="H25" s="30" t="str">
        <x:v>50-99</x:v>
      </x:c>
      <x:c r="I25" s="31" t="n">
        <x:v>49.5</x:v>
      </x:c>
      <x:c r="J25" s="31" t="n">
        <x:v>99.5</x:v>
      </x:c>
      <x:c r="K25" s="32" t="b">
        <x:v>0</x:v>
      </x:c>
      <x:c r="L25" s="32" t="b">
        <x:v>0</x:v>
      </x:c>
      <x:c r="M25" s="31" t="n">
        <x:v>1.03</x:v>
      </x:c>
      <x:c r="N25" s="31" t="n">
        <x:v>0.84</x:v>
      </x:c>
      <x:c r="O25" s="31" t="n">
        <x:v>1.26</x:v>
      </x:c>
      <x:c r="P25" s="30" t="str">
        <x:v>Time-weighted mean radon concentration (Bq/m^3)</x:v>
      </x:c>
      <x:c r="Q25" s="30" t="str">
        <x:v>Pavia et al. (2003), Table 2</x:v>
      </x:c>
      <x:c r="R25" s="30" t="str">
        <x:v>https://www.scielosp.org/pdf/bwho/2003.v81n10/732-738/en</x:v>
      </x:c>
    </x:row>
    <x:row r="26" ht="15" hidden="0" customHeight="1">
      <x:c r="A26" s="30" t="str">
        <x:v>Auvinen1996</x:v>
      </x:c>
      <x:c r="B26" s="30" t="str">
        <x:v>Auvinen et al.</x:v>
      </x:c>
      <x:c r="C26" s="30" t="n">
        <x:v>1996</x:v>
      </x:c>
      <x:c r="D26" s="30" t="str">
        <x:v>Finland</x:v>
      </x:c>
      <x:c r="E26" s="30" t="n">
        <x:v>1055</x:v>
      </x:c>
      <x:c r="F26" s="30" t="n">
        <x:v>1544</x:v>
      </x:c>
      <x:c r="G26" s="30" t="n">
        <x:v>3</x:v>
      </x:c>
      <x:c r="H26" s="30" t="str">
        <x:v>100-199</x:v>
      </x:c>
      <x:c r="I26" s="31" t="n">
        <x:v>99.5</x:v>
      </x:c>
      <x:c r="J26" s="31" t="n">
        <x:v>199.5</x:v>
      </x:c>
      <x:c r="K26" s="32" t="b">
        <x:v>0</x:v>
      </x:c>
      <x:c r="L26" s="32" t="b">
        <x:v>0</x:v>
      </x:c>
      <x:c r="M26" s="31" t="n">
        <x:v>1</x:v>
      </x:c>
      <x:c r="N26" s="31" t="n">
        <x:v>0.78</x:v>
      </x:c>
      <x:c r="O26" s="31" t="n">
        <x:v>1.29</x:v>
      </x:c>
      <x:c r="P26" s="30" t="str">
        <x:v>Time-weighted mean radon concentration (Bq/m^3)</x:v>
      </x:c>
      <x:c r="Q26" s="30" t="str">
        <x:v>Pavia et al. (2003), Table 2</x:v>
      </x:c>
      <x:c r="R26" s="30" t="str">
        <x:v>https://www.scielosp.org/pdf/bwho/2003.v81n10/732-738/en</x:v>
      </x:c>
    </x:row>
    <x:row r="27" ht="15" hidden="0" customHeight="1">
      <x:c r="A27" s="30" t="str">
        <x:v>Auvinen1996</x:v>
      </x:c>
      <x:c r="B27" s="30" t="str">
        <x:v>Auvinen et al.</x:v>
      </x:c>
      <x:c r="C27" s="30" t="n">
        <x:v>1996</x:v>
      </x:c>
      <x:c r="D27" s="30" t="str">
        <x:v>Finland</x:v>
      </x:c>
      <x:c r="E27" s="30" t="n">
        <x:v>1055</x:v>
      </x:c>
      <x:c r="F27" s="30" t="n">
        <x:v>1544</x:v>
      </x:c>
      <x:c r="G27" s="30" t="n">
        <x:v>4</x:v>
      </x:c>
      <x:c r="H27" s="30" t="str">
        <x:v>200-399</x:v>
      </x:c>
      <x:c r="I27" s="31" t="n">
        <x:v>199.5</x:v>
      </x:c>
      <x:c r="J27" s="31" t="n">
        <x:v>399.5</x:v>
      </x:c>
      <x:c r="K27" s="32" t="b">
        <x:v>0</x:v>
      </x:c>
      <x:c r="L27" s="32" t="b">
        <x:v>0</x:v>
      </x:c>
      <x:c r="M27" s="31" t="n">
        <x:v>0.91</x:v>
      </x:c>
      <x:c r="N27" s="31" t="n">
        <x:v>0.61</x:v>
      </x:c>
      <x:c r="O27" s="31" t="n">
        <x:v>1.35</x:v>
      </x:c>
      <x:c r="P27" s="30" t="str">
        <x:v>Time-weighted mean radon concentration (Bq/m^3)</x:v>
      </x:c>
      <x:c r="Q27" s="30" t="str">
        <x:v>Pavia et al. (2003), Table 2</x:v>
      </x:c>
      <x:c r="R27" s="30" t="str">
        <x:v>https://www.scielosp.org/pdf/bwho/2003.v81n10/732-738/en</x:v>
      </x:c>
    </x:row>
    <x:row r="28" ht="15" hidden="0" customHeight="1">
      <x:c r="A28" s="30" t="str">
        <x:v>Auvinen1996</x:v>
      </x:c>
      <x:c r="B28" s="30" t="str">
        <x:v>Auvinen et al.</x:v>
      </x:c>
      <x:c r="C28" s="30" t="n">
        <x:v>1996</x:v>
      </x:c>
      <x:c r="D28" s="30" t="str">
        <x:v>Finland</x:v>
      </x:c>
      <x:c r="E28" s="30" t="n">
        <x:v>1055</x:v>
      </x:c>
      <x:c r="F28" s="30" t="n">
        <x:v>1544</x:v>
      </x:c>
      <x:c r="G28" s="30" t="n">
        <x:v>5</x:v>
      </x:c>
      <x:c r="H28" s="30" t="str">
        <x:v>400-1277</x:v>
      </x:c>
      <x:c r="I28" s="31" t="n">
        <x:v>399.5</x:v>
      </x:c>
      <x:c r="J28" s="31" t="n">
        <x:v>1277.5</x:v>
      </x:c>
      <x:c r="K28" s="32" t="b">
        <x:v>0</x:v>
      </x:c>
      <x:c r="L28" s="32" t="b">
        <x:v>0</x:v>
      </x:c>
      <x:c r="M28" s="31" t="n">
        <x:v>1.15</x:v>
      </x:c>
      <x:c r="N28" s="31" t="n">
        <x:v>0.69</x:v>
      </x:c>
      <x:c r="O28" s="31" t="n">
        <x:v>1.93</x:v>
      </x:c>
      <x:c r="P28" s="30" t="str">
        <x:v>Time-weighted mean radon concentration (Bq/m^3)</x:v>
      </x:c>
      <x:c r="Q28" s="30" t="str">
        <x:v>Pavia et al. (2003), Table 2</x:v>
      </x:c>
      <x:c r="R28" s="30" t="str">
        <x:v>https://www.scielosp.org/pdf/bwho/2003.v81n10/732-738/en</x:v>
      </x:c>
    </x:row>
    <x:row r="29" ht="15" hidden="0" customHeight="1">
      <x:c r="A29" s="30" t="str">
        <x:v>Ruosteenoja1996</x:v>
      </x:c>
      <x:c r="B29" s="30" t="str">
        <x:v>Ruosteenoja et al.</x:v>
      </x:c>
      <x:c r="C29" s="30" t="n">
        <x:v>1996</x:v>
      </x:c>
      <x:c r="D29" s="30" t="str">
        <x:v>Finland</x:v>
      </x:c>
      <x:c r="E29" s="30" t="n">
        <x:v>164</x:v>
      </x:c>
      <x:c r="F29" s="30" t="n">
        <x:v>331</x:v>
      </x:c>
      <x:c r="G29" s="30" t="n">
        <x:v>1</x:v>
      </x:c>
      <x:c r="H29" s="30" t="str">
        <x:v>&lt;=95</x:v>
      </x:c>
      <x:c r="I29" s="31" t="n">
        <x:v>0</x:v>
      </x:c>
      <x:c r="J29" s="31" t="n">
        <x:v>95.5</x:v>
      </x:c>
      <x:c r="K29" s="32" t="b">
        <x:v>0</x:v>
      </x:c>
      <x:c r="L29" s="32" t="b">
        <x:v>1</x:v>
      </x:c>
      <x:c r="M29" s="31" t="n">
        <x:v>1</x:v>
      </x:c>
      <x:c r="N29" s="31"/>
      <x:c r="O29" s="31"/>
      <x:c r="P29" s="30" t="str">
        <x:v>Time-weighted mean radon concentration (Bq/m^3)</x:v>
      </x:c>
      <x:c r="Q29" s="30" t="str">
        <x:v>Pavia et al. (2003), Table 2</x:v>
      </x:c>
      <x:c r="R29" s="30" t="str">
        <x:v>https://www.scielosp.org/pdf/bwho/2003.v81n10/732-738/en</x:v>
      </x:c>
    </x:row>
    <x:row r="30" ht="15" hidden="0" customHeight="1">
      <x:c r="A30" s="30" t="str">
        <x:v>Ruosteenoja1996</x:v>
      </x:c>
      <x:c r="B30" s="30" t="str">
        <x:v>Ruosteenoja et al.</x:v>
      </x:c>
      <x:c r="C30" s="30" t="n">
        <x:v>1996</x:v>
      </x:c>
      <x:c r="D30" s="30" t="str">
        <x:v>Finland</x:v>
      </x:c>
      <x:c r="E30" s="30" t="n">
        <x:v>164</x:v>
      </x:c>
      <x:c r="F30" s="30" t="n">
        <x:v>331</x:v>
      </x:c>
      <x:c r="G30" s="30" t="n">
        <x:v>2</x:v>
      </x:c>
      <x:c r="H30" s="30" t="str">
        <x:v>96-186</x:v>
      </x:c>
      <x:c r="I30" s="31" t="n">
        <x:v>95.5</x:v>
      </x:c>
      <x:c r="J30" s="31" t="n">
        <x:v>186.5</x:v>
      </x:c>
      <x:c r="K30" s="32" t="b">
        <x:v>0</x:v>
      </x:c>
      <x:c r="L30" s="32" t="b">
        <x:v>0</x:v>
      </x:c>
      <x:c r="M30" s="31" t="n">
        <x:v>1.8</x:v>
      </x:c>
      <x:c r="N30" s="31" t="n">
        <x:v>0.9</x:v>
      </x:c>
      <x:c r="O30" s="31" t="n">
        <x:v>3.5</x:v>
      </x:c>
      <x:c r="P30" s="30" t="str">
        <x:v>Time-weighted mean radon concentration (Bq/m^3)</x:v>
      </x:c>
      <x:c r="Q30" s="30" t="str">
        <x:v>Pavia et al. (2003), Table 2</x:v>
      </x:c>
      <x:c r="R30" s="30" t="str">
        <x:v>https://www.scielosp.org/pdf/bwho/2003.v81n10/732-738/en</x:v>
      </x:c>
    </x:row>
    <x:row r="31" ht="15" hidden="0" customHeight="1">
      <x:c r="A31" s="30" t="str">
        <x:v>Ruosteenoja1996</x:v>
      </x:c>
      <x:c r="B31" s="30" t="str">
        <x:v>Ruosteenoja et al.</x:v>
      </x:c>
      <x:c r="C31" s="30" t="n">
        <x:v>1996</x:v>
      </x:c>
      <x:c r="D31" s="30" t="str">
        <x:v>Finland</x:v>
      </x:c>
      <x:c r="E31" s="30" t="n">
        <x:v>164</x:v>
      </x:c>
      <x:c r="F31" s="30" t="n">
        <x:v>331</x:v>
      </x:c>
      <x:c r="G31" s="30" t="n">
        <x:v>3</x:v>
      </x:c>
      <x:c r="H31" s="30" t="str">
        <x:v>&gt;=187</x:v>
      </x:c>
      <x:c r="I31" s="31" t="n">
        <x:v>186.5</x:v>
      </x:c>
      <x:c r="J31" s="31"/>
      <x:c r="K31" s="32" t="b">
        <x:v>1</x:v>
      </x:c>
      <x:c r="L31" s="32" t="b">
        <x:v>0</x:v>
      </x:c>
      <x:c r="M31" s="31" t="n">
        <x:v>1.5</x:v>
      </x:c>
      <x:c r="N31" s="31" t="n">
        <x:v>0.8</x:v>
      </x:c>
      <x:c r="O31" s="31" t="n">
        <x:v>2.9</x:v>
      </x:c>
      <x:c r="P31" s="30" t="str">
        <x:v>Time-weighted mean radon concentration (Bq/m^3)</x:v>
      </x:c>
      <x:c r="Q31" s="30" t="str">
        <x:v>Pavia et al. (2003), Table 2</x:v>
      </x:c>
      <x:c r="R31" s="30" t="str">
        <x:v>https://www.scielosp.org/pdf/bwho/2003.v81n10/732-738/en</x:v>
      </x:c>
    </x:row>
    <x:row r="32" ht="15" hidden="0" customHeight="1">
      <x:c r="A32" s="30" t="str">
        <x:v>Darby1998</x:v>
      </x:c>
      <x:c r="B32" s="30" t="str">
        <x:v>Darby et al.</x:v>
      </x:c>
      <x:c r="C32" s="30" t="n">
        <x:v>1998</x:v>
      </x:c>
      <x:c r="D32" s="30" t="str">
        <x:v>UK</x:v>
      </x:c>
      <x:c r="E32" s="30" t="n">
        <x:v>982</x:v>
      </x:c>
      <x:c r="F32" s="30" t="n">
        <x:v>3185</x:v>
      </x:c>
      <x:c r="G32" s="30" t="n">
        <x:v>1</x:v>
      </x:c>
      <x:c r="H32" s="30" t="str">
        <x:v>&lt;25</x:v>
      </x:c>
      <x:c r="I32" s="31" t="n">
        <x:v>0</x:v>
      </x:c>
      <x:c r="J32" s="31" t="n">
        <x:v>24.5</x:v>
      </x:c>
      <x:c r="K32" s="32" t="b">
        <x:v>0</x:v>
      </x:c>
      <x:c r="L32" s="32" t="b">
        <x:v>1</x:v>
      </x:c>
      <x:c r="M32" s="31" t="n">
        <x:v>1</x:v>
      </x:c>
      <x:c r="N32" s="31"/>
      <x:c r="O32" s="31"/>
      <x:c r="P32" s="30" t="str">
        <x:v>Time-weighted mean radon concentration (Bq/m^3)</x:v>
      </x:c>
      <x:c r="Q32" s="30" t="str">
        <x:v>Pavia et al. (2003), Table 2</x:v>
      </x:c>
      <x:c r="R32" s="30" t="str">
        <x:v>https://www.scielosp.org/pdf/bwho/2003.v81n10/732-738/en</x:v>
      </x:c>
    </x:row>
    <x:row r="33" ht="15" hidden="0" customHeight="1">
      <x:c r="A33" s="30" t="str">
        <x:v>Darby1998</x:v>
      </x:c>
      <x:c r="B33" s="30" t="str">
        <x:v>Darby et al.</x:v>
      </x:c>
      <x:c r="C33" s="30" t="n">
        <x:v>1998</x:v>
      </x:c>
      <x:c r="D33" s="30" t="str">
        <x:v>UK</x:v>
      </x:c>
      <x:c r="E33" s="30" t="n">
        <x:v>982</x:v>
      </x:c>
      <x:c r="F33" s="30" t="n">
        <x:v>3185</x:v>
      </x:c>
      <x:c r="G33" s="30" t="n">
        <x:v>2</x:v>
      </x:c>
      <x:c r="H33" s="30" t="str">
        <x:v>25-49</x:v>
      </x:c>
      <x:c r="I33" s="31" t="n">
        <x:v>24.5</x:v>
      </x:c>
      <x:c r="J33" s="31" t="n">
        <x:v>49.5</x:v>
      </x:c>
      <x:c r="K33" s="32" t="b">
        <x:v>0</x:v>
      </x:c>
      <x:c r="L33" s="32" t="b">
        <x:v>0</x:v>
      </x:c>
      <x:c r="M33" s="31" t="n">
        <x:v>1.06</x:v>
      </x:c>
      <x:c r="N33" s="31" t="n">
        <x:v>0.88</x:v>
      </x:c>
      <x:c r="O33" s="31" t="n">
        <x:v>1.29</x:v>
      </x:c>
      <x:c r="P33" s="30" t="str">
        <x:v>Time-weighted mean radon concentration (Bq/m^3)</x:v>
      </x:c>
      <x:c r="Q33" s="30" t="str">
        <x:v>Pavia et al. (2003), Table 2</x:v>
      </x:c>
      <x:c r="R33" s="30" t="str">
        <x:v>https://www.scielosp.org/pdf/bwho/2003.v81n10/732-738/en</x:v>
      </x:c>
    </x:row>
    <x:row r="34" ht="15" hidden="0" customHeight="1">
      <x:c r="A34" s="30" t="str">
        <x:v>Darby1998</x:v>
      </x:c>
      <x:c r="B34" s="30" t="str">
        <x:v>Darby et al.</x:v>
      </x:c>
      <x:c r="C34" s="30" t="n">
        <x:v>1998</x:v>
      </x:c>
      <x:c r="D34" s="30" t="str">
        <x:v>UK</x:v>
      </x:c>
      <x:c r="E34" s="30" t="n">
        <x:v>982</x:v>
      </x:c>
      <x:c r="F34" s="30" t="n">
        <x:v>3185</x:v>
      </x:c>
      <x:c r="G34" s="30" t="n">
        <x:v>3</x:v>
      </x:c>
      <x:c r="H34" s="30" t="str">
        <x:v>50-99</x:v>
      </x:c>
      <x:c r="I34" s="31" t="n">
        <x:v>49.5</x:v>
      </x:c>
      <x:c r="J34" s="31" t="n">
        <x:v>99.5</x:v>
      </x:c>
      <x:c r="K34" s="32" t="b">
        <x:v>0</x:v>
      </x:c>
      <x:c r="L34" s="32" t="b">
        <x:v>0</x:v>
      </x:c>
      <x:c r="M34" s="31" t="n">
        <x:v>1.13</x:v>
      </x:c>
      <x:c r="N34" s="31" t="n">
        <x:v>0.89</x:v>
      </x:c>
      <x:c r="O34" s="31" t="n">
        <x:v>1.44</x:v>
      </x:c>
      <x:c r="P34" s="30" t="str">
        <x:v>Time-weighted mean radon concentration (Bq/m^3)</x:v>
      </x:c>
      <x:c r="Q34" s="30" t="str">
        <x:v>Pavia et al. (2003), Table 2</x:v>
      </x:c>
      <x:c r="R34" s="30" t="str">
        <x:v>https://www.scielosp.org/pdf/bwho/2003.v81n10/732-738/en</x:v>
      </x:c>
    </x:row>
    <x:row r="35" ht="15" hidden="0" customHeight="1">
      <x:c r="A35" s="30" t="str">
        <x:v>Darby1998</x:v>
      </x:c>
      <x:c r="B35" s="30" t="str">
        <x:v>Darby et al.</x:v>
      </x:c>
      <x:c r="C35" s="30" t="n">
        <x:v>1998</x:v>
      </x:c>
      <x:c r="D35" s="30" t="str">
        <x:v>UK</x:v>
      </x:c>
      <x:c r="E35" s="30" t="n">
        <x:v>982</x:v>
      </x:c>
      <x:c r="F35" s="30" t="n">
        <x:v>3185</x:v>
      </x:c>
      <x:c r="G35" s="30" t="n">
        <x:v>4</x:v>
      </x:c>
      <x:c r="H35" s="30" t="str">
        <x:v>100-199</x:v>
      </x:c>
      <x:c r="I35" s="31" t="n">
        <x:v>99.5</x:v>
      </x:c>
      <x:c r="J35" s="31" t="n">
        <x:v>199.5</x:v>
      </x:c>
      <x:c r="K35" s="32" t="b">
        <x:v>0</x:v>
      </x:c>
      <x:c r="L35" s="32" t="b">
        <x:v>0</x:v>
      </x:c>
      <x:c r="M35" s="31" t="n">
        <x:v>1.29</x:v>
      </x:c>
      <x:c r="N35" s="31" t="n">
        <x:v>0.79</x:v>
      </x:c>
      <x:c r="O35" s="31" t="n">
        <x:v>2.12</x:v>
      </x:c>
      <x:c r="P35" s="30" t="str">
        <x:v>Time-weighted mean radon concentration (Bq/m^3)</x:v>
      </x:c>
      <x:c r="Q35" s="30" t="str">
        <x:v>Pavia et al. (2003), Table 2</x:v>
      </x:c>
      <x:c r="R35" s="30" t="str">
        <x:v>https://www.scielosp.org/pdf/bwho/2003.v81n10/732-738/en</x:v>
      </x:c>
    </x:row>
    <x:row r="36" ht="15" hidden="0" customHeight="1">
      <x:c r="A36" s="30" t="str">
        <x:v>Darby1998</x:v>
      </x:c>
      <x:c r="B36" s="30" t="str">
        <x:v>Darby et al.</x:v>
      </x:c>
      <x:c r="C36" s="30" t="n">
        <x:v>1998</x:v>
      </x:c>
      <x:c r="D36" s="30" t="str">
        <x:v>UK</x:v>
      </x:c>
      <x:c r="E36" s="30" t="n">
        <x:v>982</x:v>
      </x:c>
      <x:c r="F36" s="30" t="n">
        <x:v>3185</x:v>
      </x:c>
      <x:c r="G36" s="30" t="n">
        <x:v>5</x:v>
      </x:c>
      <x:c r="H36" s="30" t="str">
        <x:v>200-399</x:v>
      </x:c>
      <x:c r="I36" s="31" t="n">
        <x:v>199.5</x:v>
      </x:c>
      <x:c r="J36" s="31" t="n">
        <x:v>399.5</x:v>
      </x:c>
      <x:c r="K36" s="32" t="b">
        <x:v>0</x:v>
      </x:c>
      <x:c r="L36" s="32" t="b">
        <x:v>0</x:v>
      </x:c>
      <x:c r="M36" s="31" t="n">
        <x:v>0.94</x:v>
      </x:c>
      <x:c r="N36" s="31" t="n">
        <x:v>0.68</x:v>
      </x:c>
      <x:c r="O36" s="31" t="n">
        <x:v>1.29</x:v>
      </x:c>
      <x:c r="P36" s="30" t="str">
        <x:v>Time-weighted mean radon concentration (Bq/m^3)</x:v>
      </x:c>
      <x:c r="Q36" s="30" t="str">
        <x:v>Pavia et al. (2003), Table 2</x:v>
      </x:c>
      <x:c r="R36" s="30" t="str">
        <x:v>https://www.scielosp.org/pdf/bwho/2003.v81n10/732-738/en</x:v>
      </x:c>
    </x:row>
    <x:row r="37" ht="15" hidden="0" customHeight="1">
      <x:c r="A37" s="30" t="str">
        <x:v>Darby1998</x:v>
      </x:c>
      <x:c r="B37" s="30" t="str">
        <x:v>Darby et al.</x:v>
      </x:c>
      <x:c r="C37" s="30" t="n">
        <x:v>1998</x:v>
      </x:c>
      <x:c r="D37" s="30" t="str">
        <x:v>UK</x:v>
      </x:c>
      <x:c r="E37" s="30" t="n">
        <x:v>982</x:v>
      </x:c>
      <x:c r="F37" s="30" t="n">
        <x:v>3185</x:v>
      </x:c>
      <x:c r="G37" s="30" t="n">
        <x:v>6</x:v>
      </x:c>
      <x:c r="H37" s="30" t="str">
        <x:v>&gt;=400</x:v>
      </x:c>
      <x:c r="I37" s="31" t="n">
        <x:v>399.5</x:v>
      </x:c>
      <x:c r="J37" s="31"/>
      <x:c r="K37" s="32" t="b">
        <x:v>1</x:v>
      </x:c>
      <x:c r="L37" s="32" t="b">
        <x:v>0</x:v>
      </x:c>
      <x:c r="M37" s="31" t="n">
        <x:v>1.79</x:v>
      </x:c>
      <x:c r="N37" s="31" t="n">
        <x:v>0.74</x:v>
      </x:c>
      <x:c r="O37" s="31" t="n">
        <x:v>4.33</x:v>
      </x:c>
      <x:c r="P37" s="30" t="str">
        <x:v>Time-weighted mean radon concentration (Bq/m^3)</x:v>
      </x:c>
      <x:c r="Q37" s="30" t="str">
        <x:v>Pavia et al. (2003), Table 2</x:v>
      </x:c>
      <x:c r="R37" s="30" t="str">
        <x:v>https://www.scielosp.org/pdf/bwho/2003.v81n10/732-738/en</x:v>
      </x:c>
    </x:row>
    <x:row r="38" ht="15" hidden="0" customHeight="1">
      <x:c r="A38" s="30" t="str">
        <x:v>Alavanja1999</x:v>
      </x:c>
      <x:c r="B38" s="30" t="str">
        <x:v>Alavanja et al.</x:v>
      </x:c>
      <x:c r="C38" s="30" t="n">
        <x:v>1999</x:v>
      </x:c>
      <x:c r="D38" s="30" t="str">
        <x:v>USA</x:v>
      </x:c>
      <x:c r="E38" s="30" t="n">
        <x:v>247</x:v>
      </x:c>
      <x:c r="F38" s="30" t="n">
        <x:v>299</x:v>
      </x:c>
      <x:c r="G38" s="30" t="n">
        <x:v>1</x:v>
      </x:c>
      <x:c r="H38" s="30" t="str">
        <x:v>&lt;37</x:v>
      </x:c>
      <x:c r="I38" s="31" t="n">
        <x:v>0</x:v>
      </x:c>
      <x:c r="J38" s="31" t="n">
        <x:v>36.5</x:v>
      </x:c>
      <x:c r="K38" s="32" t="b">
        <x:v>0</x:v>
      </x:c>
      <x:c r="L38" s="32" t="b">
        <x:v>1</x:v>
      </x:c>
      <x:c r="M38" s="31" t="n">
        <x:v>1</x:v>
      </x:c>
      <x:c r="N38" s="31"/>
      <x:c r="O38" s="31"/>
      <x:c r="P38" s="30" t="str">
        <x:v>Time-weighted mean radon concentration (Bq/m^3)</x:v>
      </x:c>
      <x:c r="Q38" s="30" t="str">
        <x:v>Pavia et al. (2003), Table 2</x:v>
      </x:c>
      <x:c r="R38" s="30" t="str">
        <x:v>https://www.scielosp.org/pdf/bwho/2003.v81n10/732-738/en</x:v>
      </x:c>
    </x:row>
    <x:row r="39" ht="15" hidden="0" customHeight="1">
      <x:c r="A39" s="30" t="str">
        <x:v>Alavanja1999</x:v>
      </x:c>
      <x:c r="B39" s="30" t="str">
        <x:v>Alavanja et al.</x:v>
      </x:c>
      <x:c r="C39" s="30" t="n">
        <x:v>1999</x:v>
      </x:c>
      <x:c r="D39" s="30" t="str">
        <x:v>USA</x:v>
      </x:c>
      <x:c r="E39" s="30" t="n">
        <x:v>247</x:v>
      </x:c>
      <x:c r="F39" s="30" t="n">
        <x:v>299</x:v>
      </x:c>
      <x:c r="G39" s="30" t="n">
        <x:v>2</x:v>
      </x:c>
      <x:c r="H39" s="30" t="str">
        <x:v>37-73</x:v>
      </x:c>
      <x:c r="I39" s="31" t="n">
        <x:v>36.5</x:v>
      </x:c>
      <x:c r="J39" s="31" t="n">
        <x:v>73.5</x:v>
      </x:c>
      <x:c r="K39" s="32" t="b">
        <x:v>0</x:v>
      </x:c>
      <x:c r="L39" s="32" t="b">
        <x:v>0</x:v>
      </x:c>
      <x:c r="M39" s="31" t="n">
        <x:v>0.87</x:v>
      </x:c>
      <x:c r="N39" s="31" t="n">
        <x:v>0.6</x:v>
      </x:c>
      <x:c r="O39" s="31" t="n">
        <x:v>1.3</x:v>
      </x:c>
      <x:c r="P39" s="30" t="str">
        <x:v>Time-weighted mean radon concentration (Bq/m^3)</x:v>
      </x:c>
      <x:c r="Q39" s="30" t="str">
        <x:v>Pavia et al. (2003), Table 2</x:v>
      </x:c>
      <x:c r="R39" s="30" t="str">
        <x:v>https://www.scielosp.org/pdf/bwho/2003.v81n10/732-738/en</x:v>
      </x:c>
    </x:row>
    <x:row r="40" ht="15" hidden="0" customHeight="1">
      <x:c r="A40" s="30" t="str">
        <x:v>Alavanja1999</x:v>
      </x:c>
      <x:c r="B40" s="30" t="str">
        <x:v>Alavanja et al.</x:v>
      </x:c>
      <x:c r="C40" s="30" t="n">
        <x:v>1999</x:v>
      </x:c>
      <x:c r="D40" s="30" t="str">
        <x:v>USA</x:v>
      </x:c>
      <x:c r="E40" s="30" t="n">
        <x:v>247</x:v>
      </x:c>
      <x:c r="F40" s="30" t="n">
        <x:v>299</x:v>
      </x:c>
      <x:c r="G40" s="30" t="n">
        <x:v>3</x:v>
      </x:c>
      <x:c r="H40" s="30" t="str">
        <x:v>74-147</x:v>
      </x:c>
      <x:c r="I40" s="31" t="n">
        <x:v>73.5</x:v>
      </x:c>
      <x:c r="J40" s="31" t="n">
        <x:v>147.5</x:v>
      </x:c>
      <x:c r="K40" s="32" t="b">
        <x:v>0</x:v>
      </x:c>
      <x:c r="L40" s="32" t="b">
        <x:v>0</x:v>
      </x:c>
      <x:c r="M40" s="31" t="n">
        <x:v>0.91</x:v>
      </x:c>
      <x:c r="N40" s="31" t="n">
        <x:v>0.5</x:v>
      </x:c>
      <x:c r="O40" s="31" t="n">
        <x:v>1.5</x:v>
      </x:c>
      <x:c r="P40" s="30" t="str">
        <x:v>Time-weighted mean radon concentration (Bq/m^3)</x:v>
      </x:c>
      <x:c r="Q40" s="30" t="str">
        <x:v>Pavia et al. (2003), Table 2</x:v>
      </x:c>
      <x:c r="R40" s="30" t="str">
        <x:v>https://www.scielosp.org/pdf/bwho/2003.v81n10/732-738/en</x:v>
      </x:c>
    </x:row>
    <x:row r="41" ht="15" hidden="0" customHeight="1">
      <x:c r="A41" s="30" t="str">
        <x:v>Alavanja1999</x:v>
      </x:c>
      <x:c r="B41" s="30" t="str">
        <x:v>Alavanja et al.</x:v>
      </x:c>
      <x:c r="C41" s="30" t="n">
        <x:v>1999</x:v>
      </x:c>
      <x:c r="D41" s="30" t="str">
        <x:v>USA</x:v>
      </x:c>
      <x:c r="E41" s="30" t="n">
        <x:v>247</x:v>
      </x:c>
      <x:c r="F41" s="30" t="n">
        <x:v>299</x:v>
      </x:c>
      <x:c r="G41" s="30" t="n">
        <x:v>4</x:v>
      </x:c>
      <x:c r="H41" s="30" t="str">
        <x:v>&gt;=148</x:v>
      </x:c>
      <x:c r="I41" s="31" t="n">
        <x:v>147.5</x:v>
      </x:c>
      <x:c r="J41" s="31"/>
      <x:c r="K41" s="32" t="b">
        <x:v>1</x:v>
      </x:c>
      <x:c r="L41" s="32" t="b">
        <x:v>0</x:v>
      </x:c>
      <x:c r="M41" s="31" t="n">
        <x:v>0.71</x:v>
      </x:c>
      <x:c r="N41" s="31" t="n">
        <x:v>0.3</x:v>
      </x:c>
      <x:c r="O41" s="31" t="n">
        <x:v>1.3</x:v>
      </x:c>
      <x:c r="P41" s="30" t="str">
        <x:v>Time-weighted mean radon concentration (Bq/m^3)</x:v>
      </x:c>
      <x:c r="Q41" s="30" t="str">
        <x:v>Pavia et al. (2003), Table 2</x:v>
      </x:c>
      <x:c r="R41" s="30" t="str">
        <x:v>https://www.scielosp.org/pdf/bwho/2003.v81n10/732-738/en</x:v>
      </x:c>
    </x:row>
    <x:row r="42" ht="15" hidden="0" customHeight="1">
      <x:c r="A42" s="30" t="str">
        <x:v>Field2000</x:v>
      </x:c>
      <x:c r="B42" s="30" t="str">
        <x:v>Field et al.</x:v>
      </x:c>
      <x:c r="C42" s="30" t="n">
        <x:v>2000</x:v>
      </x:c>
      <x:c r="D42" s="30" t="str">
        <x:v>USA</x:v>
      </x:c>
      <x:c r="E42" s="30" t="n">
        <x:v>413</x:v>
      </x:c>
      <x:c r="F42" s="30" t="n">
        <x:v>614</x:v>
      </x:c>
      <x:c r="G42" s="30" t="n">
        <x:v>1</x:v>
      </x:c>
      <x:c r="H42" s="30" t="str">
        <x:v>&lt;=57</x:v>
      </x:c>
      <x:c r="I42" s="31" t="n">
        <x:v>0</x:v>
      </x:c>
      <x:c r="J42" s="31" t="n">
        <x:v>57.5</x:v>
      </x:c>
      <x:c r="K42" s="32" t="b">
        <x:v>0</x:v>
      </x:c>
      <x:c r="L42" s="32" t="b">
        <x:v>1</x:v>
      </x:c>
      <x:c r="M42" s="31" t="n">
        <x:v>1</x:v>
      </x:c>
      <x:c r="N42" s="31"/>
      <x:c r="O42" s="31"/>
      <x:c r="P42" s="30" t="str">
        <x:v>Time-weighted mean radon concentration (Bq/m^3)</x:v>
      </x:c>
      <x:c r="Q42" s="30" t="str">
        <x:v>Pavia et al. (2003), Table 2</x:v>
      </x:c>
      <x:c r="R42" s="30" t="str">
        <x:v>https://www.scielosp.org/pdf/bwho/2003.v81n10/732-738/en</x:v>
      </x:c>
    </x:row>
    <x:row r="43" ht="15" hidden="0" customHeight="1">
      <x:c r="A43" s="30" t="str">
        <x:v>Field2000</x:v>
      </x:c>
      <x:c r="B43" s="30" t="str">
        <x:v>Field et al.</x:v>
      </x:c>
      <x:c r="C43" s="30" t="n">
        <x:v>2000</x:v>
      </x:c>
      <x:c r="D43" s="30" t="str">
        <x:v>USA</x:v>
      </x:c>
      <x:c r="E43" s="30" t="n">
        <x:v>413</x:v>
      </x:c>
      <x:c r="F43" s="30" t="n">
        <x:v>614</x:v>
      </x:c>
      <x:c r="G43" s="30" t="n">
        <x:v>2</x:v>
      </x:c>
      <x:c r="H43" s="30" t="str">
        <x:v>58-114</x:v>
      </x:c>
      <x:c r="I43" s="31" t="n">
        <x:v>57.5</x:v>
      </x:c>
      <x:c r="J43" s="31" t="n">
        <x:v>114.5</x:v>
      </x:c>
      <x:c r="K43" s="32" t="b">
        <x:v>0</x:v>
      </x:c>
      <x:c r="L43" s="32" t="b">
        <x:v>0</x:v>
      </x:c>
      <x:c r="M43" s="31" t="n">
        <x:v>1.34</x:v>
      </x:c>
      <x:c r="N43" s="31" t="n">
        <x:v>0.81</x:v>
      </x:c>
      <x:c r="O43" s="31" t="n">
        <x:v>2.22</x:v>
      </x:c>
      <x:c r="P43" s="30" t="str">
        <x:v>Time-weighted mean radon concentration (Bq/m^3)</x:v>
      </x:c>
      <x:c r="Q43" s="30" t="str">
        <x:v>Pavia et al. (2003), Table 2</x:v>
      </x:c>
      <x:c r="R43" s="30" t="str">
        <x:v>https://www.scielosp.org/pdf/bwho/2003.v81n10/732-738/en</x:v>
      </x:c>
    </x:row>
    <x:row r="44" ht="15" hidden="0" customHeight="1">
      <x:c r="A44" s="30" t="str">
        <x:v>Field2000</x:v>
      </x:c>
      <x:c r="B44" s="30" t="str">
        <x:v>Field et al.</x:v>
      </x:c>
      <x:c r="C44" s="30" t="n">
        <x:v>2000</x:v>
      </x:c>
      <x:c r="D44" s="30" t="str">
        <x:v>USA</x:v>
      </x:c>
      <x:c r="E44" s="30" t="n">
        <x:v>413</x:v>
      </x:c>
      <x:c r="F44" s="30" t="n">
        <x:v>614</x:v>
      </x:c>
      <x:c r="G44" s="30" t="n">
        <x:v>3</x:v>
      </x:c>
      <x:c r="H44" s="30" t="str">
        <x:v>115-170</x:v>
      </x:c>
      <x:c r="I44" s="31" t="n">
        <x:v>114.5</x:v>
      </x:c>
      <x:c r="J44" s="31" t="n">
        <x:v>170.5</x:v>
      </x:c>
      <x:c r="K44" s="32" t="b">
        <x:v>0</x:v>
      </x:c>
      <x:c r="L44" s="32" t="b">
        <x:v>0</x:v>
      </x:c>
      <x:c r="M44" s="31" t="n">
        <x:v>1.73</x:v>
      </x:c>
      <x:c r="N44" s="31" t="n">
        <x:v>0.99</x:v>
      </x:c>
      <x:c r="O44" s="31" t="n">
        <x:v>3.04</x:v>
      </x:c>
      <x:c r="P44" s="30" t="str">
        <x:v>Time-weighted mean radon concentration (Bq/m^3)</x:v>
      </x:c>
      <x:c r="Q44" s="30" t="str">
        <x:v>Pavia et al. (2003), Table 2</x:v>
      </x:c>
      <x:c r="R44" s="30" t="str">
        <x:v>https://www.scielosp.org/pdf/bwho/2003.v81n10/732-738/en</x:v>
      </x:c>
    </x:row>
    <x:row r="45" ht="15" hidden="0" customHeight="1">
      <x:c r="A45" s="30" t="str">
        <x:v>Field2000</x:v>
      </x:c>
      <x:c r="B45" s="30" t="str">
        <x:v>Field et al.</x:v>
      </x:c>
      <x:c r="C45" s="30" t="n">
        <x:v>2000</x:v>
      </x:c>
      <x:c r="D45" s="30" t="str">
        <x:v>USA</x:v>
      </x:c>
      <x:c r="E45" s="30" t="n">
        <x:v>413</x:v>
      </x:c>
      <x:c r="F45" s="30" t="n">
        <x:v>614</x:v>
      </x:c>
      <x:c r="G45" s="30" t="n">
        <x:v>4</x:v>
      </x:c>
      <x:c r="H45" s="30" t="str">
        <x:v>171-228</x:v>
      </x:c>
      <x:c r="I45" s="31" t="n">
        <x:v>170.5</x:v>
      </x:c>
      <x:c r="J45" s="31" t="n">
        <x:v>228.5</x:v>
      </x:c>
      <x:c r="K45" s="32" t="b">
        <x:v>0</x:v>
      </x:c>
      <x:c r="L45" s="32" t="b">
        <x:v>0</x:v>
      </x:c>
      <x:c r="M45" s="31" t="n">
        <x:v>1.62</x:v>
      </x:c>
      <x:c r="N45" s="31" t="n">
        <x:v>0.88</x:v>
      </x:c>
      <x:c r="O45" s="31" t="n">
        <x:v>2.99</x:v>
      </x:c>
      <x:c r="P45" s="30" t="str">
        <x:v>Time-weighted mean radon concentration (Bq/m^3)</x:v>
      </x:c>
      <x:c r="Q45" s="30" t="str">
        <x:v>Pavia et al. (2003), Table 2</x:v>
      </x:c>
      <x:c r="R45" s="30" t="str">
        <x:v>https://www.scielosp.org/pdf/bwho/2003.v81n10/732-738/en</x:v>
      </x:c>
    </x:row>
    <x:row r="46" ht="15" hidden="0" customHeight="1">
      <x:c r="A46" s="30" t="str">
        <x:v>Field2000</x:v>
      </x:c>
      <x:c r="B46" s="30" t="str">
        <x:v>Field et al.</x:v>
      </x:c>
      <x:c r="C46" s="30" t="n">
        <x:v>2000</x:v>
      </x:c>
      <x:c r="D46" s="30" t="str">
        <x:v>USA</x:v>
      </x:c>
      <x:c r="E46" s="30" t="n">
        <x:v>413</x:v>
      </x:c>
      <x:c r="F46" s="30" t="n">
        <x:v>614</x:v>
      </x:c>
      <x:c r="G46" s="30" t="n">
        <x:v>5</x:v>
      </x:c>
      <x:c r="H46" s="30" t="str">
        <x:v>&gt;228</x:v>
      </x:c>
      <x:c r="I46" s="31" t="n">
        <x:v>228.5</x:v>
      </x:c>
      <x:c r="J46" s="31"/>
      <x:c r="K46" s="32" t="b">
        <x:v>1</x:v>
      </x:c>
      <x:c r="L46" s="32" t="b">
        <x:v>0</x:v>
      </x:c>
      <x:c r="M46" s="31" t="n">
        <x:v>1.79</x:v>
      </x:c>
      <x:c r="N46" s="31" t="n">
        <x:v>0.99</x:v>
      </x:c>
      <x:c r="O46" s="31" t="n">
        <x:v>3.26</x:v>
      </x:c>
      <x:c r="P46" s="30" t="str">
        <x:v>Time-weighted mean radon concentration (Bq/m^3)</x:v>
      </x:c>
      <x:c r="Q46" s="30" t="str">
        <x:v>Pavia et al. (2003), Table 2</x:v>
      </x:c>
      <x:c r="R46" s="30" t="str">
        <x:v>https://www.scielosp.org/pdf/bwho/2003.v81n10/732-738/en</x:v>
      </x:c>
    </x:row>
    <x:row r="47" ht="15" hidden="0" customHeight="1">
      <x:c r="A47" s="30" t="str">
        <x:v>Sobue2000</x:v>
      </x:c>
      <x:c r="B47" s="30" t="str">
        <x:v>Sobue et al.</x:v>
      </x:c>
      <x:c r="C47" s="30" t="n">
        <x:v>2000</x:v>
      </x:c>
      <x:c r="D47" s="30" t="str">
        <x:v>Japan</x:v>
      </x:c>
      <x:c r="E47" s="30" t="n">
        <x:v>28</x:v>
      </x:c>
      <x:c r="F47" s="30" t="n">
        <x:v>35</x:v>
      </x:c>
      <x:c r="G47" s="30" t="n">
        <x:v>1</x:v>
      </x:c>
      <x:c r="H47" s="30" t="str">
        <x:v>&lt;=24</x:v>
      </x:c>
      <x:c r="I47" s="31" t="n">
        <x:v>0</x:v>
      </x:c>
      <x:c r="J47" s="31" t="n">
        <x:v>24.5</x:v>
      </x:c>
      <x:c r="K47" s="32" t="b">
        <x:v>0</x:v>
      </x:c>
      <x:c r="L47" s="32" t="b">
        <x:v>1</x:v>
      </x:c>
      <x:c r="M47" s="31" t="n">
        <x:v>1</x:v>
      </x:c>
      <x:c r="N47" s="31"/>
      <x:c r="O47" s="31"/>
      <x:c r="P47" s="30" t="str">
        <x:v>Time-weighted mean radon concentration (Bq/m^3)</x:v>
      </x:c>
      <x:c r="Q47" s="30" t="str">
        <x:v>Pavia et al. (2003), Table 2</x:v>
      </x:c>
      <x:c r="R47" s="30" t="str">
        <x:v>https://www.scielosp.org/pdf/bwho/2003.v81n10/732-738/en</x:v>
      </x:c>
    </x:row>
    <x:row r="48" ht="15" hidden="0" customHeight="1">
      <x:c r="A48" s="30" t="str">
        <x:v>Sobue2000</x:v>
      </x:c>
      <x:c r="B48" s="30" t="str">
        <x:v>Sobue et al.</x:v>
      </x:c>
      <x:c r="C48" s="30" t="n">
        <x:v>2000</x:v>
      </x:c>
      <x:c r="D48" s="30" t="str">
        <x:v>Japan</x:v>
      </x:c>
      <x:c r="E48" s="30" t="n">
        <x:v>28</x:v>
      </x:c>
      <x:c r="F48" s="30" t="n">
        <x:v>35</x:v>
      </x:c>
      <x:c r="G48" s="30" t="n">
        <x:v>2</x:v>
      </x:c>
      <x:c r="H48" s="30" t="str">
        <x:v>25-49</x:v>
      </x:c>
      <x:c r="I48" s="31" t="n">
        <x:v>24.5</x:v>
      </x:c>
      <x:c r="J48" s="31" t="n">
        <x:v>49.5</x:v>
      </x:c>
      <x:c r="K48" s="32" t="b">
        <x:v>0</x:v>
      </x:c>
      <x:c r="L48" s="32" t="b">
        <x:v>0</x:v>
      </x:c>
      <x:c r="M48" s="31" t="n">
        <x:v>1.13</x:v>
      </x:c>
      <x:c r="N48" s="31" t="n">
        <x:v>0.29</x:v>
      </x:c>
      <x:c r="O48" s="31" t="n">
        <x:v>4.4</x:v>
      </x:c>
      <x:c r="P48" s="30" t="str">
        <x:v>Time-weighted mean radon concentration (Bq/m^3)</x:v>
      </x:c>
      <x:c r="Q48" s="30" t="str">
        <x:v>Pavia et al. (2003), Table 2</x:v>
      </x:c>
      <x:c r="R48" s="30" t="str">
        <x:v>https://www.scielosp.org/pdf/bwho/2003.v81n10/732-738/en</x:v>
      </x:c>
    </x:row>
    <x:row r="49" ht="15" hidden="0" customHeight="1">
      <x:c r="A49" s="30" t="str">
        <x:v>Sobue2000</x:v>
      </x:c>
      <x:c r="B49" s="30" t="str">
        <x:v>Sobue et al.</x:v>
      </x:c>
      <x:c r="C49" s="30" t="n">
        <x:v>2000</x:v>
      </x:c>
      <x:c r="D49" s="30" t="str">
        <x:v>Japan</x:v>
      </x:c>
      <x:c r="E49" s="30" t="n">
        <x:v>28</x:v>
      </x:c>
      <x:c r="F49" s="30" t="n">
        <x:v>35</x:v>
      </x:c>
      <x:c r="G49" s="30" t="n">
        <x:v>3</x:v>
      </x:c>
      <x:c r="H49" s="30" t="str">
        <x:v>50-99</x:v>
      </x:c>
      <x:c r="I49" s="31" t="n">
        <x:v>49.5</x:v>
      </x:c>
      <x:c r="J49" s="31" t="n">
        <x:v>99.5</x:v>
      </x:c>
      <x:c r="K49" s="32" t="b">
        <x:v>0</x:v>
      </x:c>
      <x:c r="L49" s="32" t="b">
        <x:v>0</x:v>
      </x:c>
      <x:c r="M49" s="31" t="n">
        <x:v>1.23</x:v>
      </x:c>
      <x:c r="N49" s="31" t="n">
        <x:v>0.16</x:v>
      </x:c>
      <x:c r="O49" s="31" t="n">
        <x:v>9.39</x:v>
      </x:c>
      <x:c r="P49" s="30" t="str">
        <x:v>Time-weighted mean radon concentration (Bq/m^3)</x:v>
      </x:c>
      <x:c r="Q49" s="30" t="str">
        <x:v>Pavia et al. (2003), Table 2</x:v>
      </x:c>
      <x:c r="R49" s="30" t="str">
        <x:v>https://www.scielosp.org/pdf/bwho/2003.v81n10/732-738/en</x:v>
      </x:c>
    </x:row>
    <x:row r="50" ht="15" hidden="0" customHeight="1">
      <x:c r="A50" s="30" t="str">
        <x:v>Sobue2000</x:v>
      </x:c>
      <x:c r="B50" s="30" t="str">
        <x:v>Sobue et al.</x:v>
      </x:c>
      <x:c r="C50" s="30" t="n">
        <x:v>2000</x:v>
      </x:c>
      <x:c r="D50" s="30" t="str">
        <x:v>Japan</x:v>
      </x:c>
      <x:c r="E50" s="30" t="n">
        <x:v>28</x:v>
      </x:c>
      <x:c r="F50" s="30" t="n">
        <x:v>35</x:v>
      </x:c>
      <x:c r="G50" s="30" t="n">
        <x:v>4</x:v>
      </x:c>
      <x:c r="H50" s="30" t="str">
        <x:v>&gt;=100</x:v>
      </x:c>
      <x:c r="I50" s="31" t="n">
        <x:v>99.5</x:v>
      </x:c>
      <x:c r="J50" s="31"/>
      <x:c r="K50" s="32" t="b">
        <x:v>1</x:v>
      </x:c>
      <x:c r="L50" s="32" t="b">
        <x:v>0</x:v>
      </x:c>
      <x:c r="M50" s="31" t="n">
        <x:v>0.25</x:v>
      </x:c>
      <x:c r="N50" s="31" t="n">
        <x:v>0.03</x:v>
      </x:c>
      <x:c r="O50" s="31" t="n">
        <x:v>2.33</x:v>
      </x:c>
      <x:c r="P50" s="30" t="str">
        <x:v>Time-weighted mean radon concentration (Bq/m^3)</x:v>
      </x:c>
      <x:c r="Q50" s="30" t="str">
        <x:v>Pavia et al. (2003), Table 2</x:v>
      </x:c>
      <x:c r="R50" s="30" t="str">
        <x:v>https://www.scielosp.org/pdf/bwho/2003.v81n10/732-738/en</x:v>
      </x:c>
    </x:row>
    <x:row r="51" ht="15" hidden="0" customHeight="1">
      <x:c r="A51" s="30" t="str">
        <x:v>Kreienbrock2001</x:v>
      </x:c>
      <x:c r="B51" s="30" t="str">
        <x:v>Kreienbrock et al.</x:v>
      </x:c>
      <x:c r="C51" s="30" t="n">
        <x:v>2001</x:v>
      </x:c>
      <x:c r="D51" s="30" t="str">
        <x:v>Germany</x:v>
      </x:c>
      <x:c r="E51" s="30" t="n">
        <x:v>1449</x:v>
      </x:c>
      <x:c r="F51" s="30" t="n">
        <x:v>2297</x:v>
      </x:c>
      <x:c r="G51" s="30" t="n">
        <x:v>1</x:v>
      </x:c>
      <x:c r="H51" s="30" t="str">
        <x:v>&lt;50</x:v>
      </x:c>
      <x:c r="I51" s="31" t="n">
        <x:v>0</x:v>
      </x:c>
      <x:c r="J51" s="31" t="n">
        <x:v>49.5</x:v>
      </x:c>
      <x:c r="K51" s="32" t="b">
        <x:v>0</x:v>
      </x:c>
      <x:c r="L51" s="32" t="b">
        <x:v>1</x:v>
      </x:c>
      <x:c r="M51" s="31" t="n">
        <x:v>1</x:v>
      </x:c>
      <x:c r="N51" s="31"/>
      <x:c r="O51" s="31"/>
      <x:c r="P51" s="30" t="str">
        <x:v>Time-weighted mean radon concentration (Bq/m^3)</x:v>
      </x:c>
      <x:c r="Q51" s="30" t="str">
        <x:v>Pavia et al. (2003), Table 2</x:v>
      </x:c>
      <x:c r="R51" s="30" t="str">
        <x:v>https://www.scielosp.org/pdf/bwho/2003.v81n10/732-738/en</x:v>
      </x:c>
    </x:row>
    <x:row r="52" ht="15" hidden="0" customHeight="1">
      <x:c r="A52" s="30" t="str">
        <x:v>Kreienbrock2001</x:v>
      </x:c>
      <x:c r="B52" s="30" t="str">
        <x:v>Kreienbrock et al.</x:v>
      </x:c>
      <x:c r="C52" s="30" t="n">
        <x:v>2001</x:v>
      </x:c>
      <x:c r="D52" s="30" t="str">
        <x:v>Germany</x:v>
      </x:c>
      <x:c r="E52" s="30" t="n">
        <x:v>1449</x:v>
      </x:c>
      <x:c r="F52" s="30" t="n">
        <x:v>2297</x:v>
      </x:c>
      <x:c r="G52" s="30" t="n">
        <x:v>2</x:v>
      </x:c>
      <x:c r="H52" s="30" t="str">
        <x:v>50-80</x:v>
      </x:c>
      <x:c r="I52" s="31" t="n">
        <x:v>49.5</x:v>
      </x:c>
      <x:c r="J52" s="31" t="n">
        <x:v>80.5</x:v>
      </x:c>
      <x:c r="K52" s="32" t="b">
        <x:v>0</x:v>
      </x:c>
      <x:c r="L52" s="32" t="b">
        <x:v>0</x:v>
      </x:c>
      <x:c r="M52" s="31" t="n">
        <x:v>0.98</x:v>
      </x:c>
      <x:c r="N52" s="31" t="n">
        <x:v>0.81</x:v>
      </x:c>
      <x:c r="O52" s="31" t="n">
        <x:v>1.2</x:v>
      </x:c>
      <x:c r="P52" s="30" t="str">
        <x:v>Time-weighted mean radon concentration (Bq/m^3)</x:v>
      </x:c>
      <x:c r="Q52" s="30" t="str">
        <x:v>Pavia et al. (2003), Table 2</x:v>
      </x:c>
      <x:c r="R52" s="30" t="str">
        <x:v>https://www.scielosp.org/pdf/bwho/2003.v81n10/732-738/en</x:v>
      </x:c>
    </x:row>
    <x:row r="53" ht="15" hidden="0" customHeight="1">
      <x:c r="A53" s="30" t="str">
        <x:v>Kreienbrock2001</x:v>
      </x:c>
      <x:c r="B53" s="30" t="str">
        <x:v>Kreienbrock et al.</x:v>
      </x:c>
      <x:c r="C53" s="30" t="n">
        <x:v>2001</x:v>
      </x:c>
      <x:c r="D53" s="30" t="str">
        <x:v>Germany</x:v>
      </x:c>
      <x:c r="E53" s="30" t="n">
        <x:v>1449</x:v>
      </x:c>
      <x:c r="F53" s="30" t="n">
        <x:v>2297</x:v>
      </x:c>
      <x:c r="G53" s="30" t="n">
        <x:v>3</x:v>
      </x:c>
      <x:c r="H53" s="30" t="str">
        <x:v>81-140</x:v>
      </x:c>
      <x:c r="I53" s="31" t="n">
        <x:v>80.5</x:v>
      </x:c>
      <x:c r="J53" s="31" t="n">
        <x:v>140.5</x:v>
      </x:c>
      <x:c r="K53" s="32" t="b">
        <x:v>0</x:v>
      </x:c>
      <x:c r="L53" s="32" t="b">
        <x:v>0</x:v>
      </x:c>
      <x:c r="M53" s="31" t="n">
        <x:v>1.09</x:v>
      </x:c>
      <x:c r="N53" s="31" t="n">
        <x:v>0.8</x:v>
      </x:c>
      <x:c r="O53" s="31" t="n">
        <x:v>1.48</x:v>
      </x:c>
      <x:c r="P53" s="30" t="str">
        <x:v>Time-weighted mean radon concentration (Bq/m^3)</x:v>
      </x:c>
      <x:c r="Q53" s="30" t="str">
        <x:v>Pavia et al. (2003), Table 2</x:v>
      </x:c>
      <x:c r="R53" s="30" t="str">
        <x:v>https://www.scielosp.org/pdf/bwho/2003.v81n10/732-738/en</x:v>
      </x:c>
    </x:row>
    <x:row r="54" ht="15" hidden="0" customHeight="1">
      <x:c r="A54" s="30" t="str">
        <x:v>Kreienbrock2001</x:v>
      </x:c>
      <x:c r="B54" s="30" t="str">
        <x:v>Kreienbrock et al.</x:v>
      </x:c>
      <x:c r="C54" s="30" t="n">
        <x:v>2001</x:v>
      </x:c>
      <x:c r="D54" s="30" t="str">
        <x:v>Germany</x:v>
      </x:c>
      <x:c r="E54" s="30" t="n">
        <x:v>1449</x:v>
      </x:c>
      <x:c r="F54" s="30" t="n">
        <x:v>2297</x:v>
      </x:c>
      <x:c r="G54" s="30" t="n">
        <x:v>4</x:v>
      </x:c>
      <x:c r="H54" s="30" t="str">
        <x:v>&gt;140</x:v>
      </x:c>
      <x:c r="I54" s="31" t="n">
        <x:v>140.5</x:v>
      </x:c>
      <x:c r="J54" s="31"/>
      <x:c r="K54" s="32" t="b">
        <x:v>1</x:v>
      </x:c>
      <x:c r="L54" s="32" t="b">
        <x:v>0</x:v>
      </x:c>
      <x:c r="M54" s="31" t="n">
        <x:v>0.99</x:v>
      </x:c>
      <x:c r="N54" s="31" t="n">
        <x:v>0.61</x:v>
      </x:c>
      <x:c r="O54" s="31" t="n">
        <x:v>1.63</x:v>
      </x:c>
      <x:c r="P54" s="30" t="str">
        <x:v>Time-weighted mean radon concentration (Bq/m^3)</x:v>
      </x:c>
      <x:c r="Q54" s="30" t="str">
        <x:v>Pavia et al. (2003), Table 2</x:v>
      </x:c>
      <x:c r="R54" s="30" t="str">
        <x:v>https://www.scielosp.org/pdf/bwho/2003.v81n10/732-738/en</x:v>
      </x:c>
    </x:row>
    <x:row r="55" ht="15" hidden="0" customHeight="1">
      <x:c r="A55" s="30" t="str">
        <x:v>Lagarde2001</x:v>
      </x:c>
      <x:c r="B55" s="30" t="str">
        <x:v>Lagarde et al.</x:v>
      </x:c>
      <x:c r="C55" s="30" t="n">
        <x:v>2001</x:v>
      </x:c>
      <x:c r="D55" s="30" t="str">
        <x:v>Sweden</x:v>
      </x:c>
      <x:c r="E55" s="30" t="n">
        <x:v>86</x:v>
      </x:c>
      <x:c r="F55" s="30" t="n">
        <x:v>178</x:v>
      </x:c>
      <x:c r="G55" s="30" t="n">
        <x:v>1</x:v>
      </x:c>
      <x:c r="H55" s="30" t="str">
        <x:v>&lt;50</x:v>
      </x:c>
      <x:c r="I55" s="31" t="n">
        <x:v>0</x:v>
      </x:c>
      <x:c r="J55" s="31" t="n">
        <x:v>49.5</x:v>
      </x:c>
      <x:c r="K55" s="32" t="b">
        <x:v>0</x:v>
      </x:c>
      <x:c r="L55" s="32" t="b">
        <x:v>1</x:v>
      </x:c>
      <x:c r="M55" s="31" t="n">
        <x:v>1</x:v>
      </x:c>
      <x:c r="N55" s="31"/>
      <x:c r="O55" s="31"/>
      <x:c r="P55" s="30" t="str">
        <x:v>Time-weighted mean radon concentration (Bq/m^3)</x:v>
      </x:c>
      <x:c r="Q55" s="30" t="str">
        <x:v>Pavia et al. (2003), Table 2</x:v>
      </x:c>
      <x:c r="R55" s="30" t="str">
        <x:v>https://www.scielosp.org/pdf/bwho/2003.v81n10/732-738/en</x:v>
      </x:c>
    </x:row>
    <x:row r="56" ht="15" hidden="0" customHeight="1">
      <x:c r="A56" s="30" t="str">
        <x:v>Lagarde2001</x:v>
      </x:c>
      <x:c r="B56" s="30" t="str">
        <x:v>Lagarde et al.</x:v>
      </x:c>
      <x:c r="C56" s="30" t="n">
        <x:v>2001</x:v>
      </x:c>
      <x:c r="D56" s="30" t="str">
        <x:v>Sweden</x:v>
      </x:c>
      <x:c r="E56" s="30" t="n">
        <x:v>86</x:v>
      </x:c>
      <x:c r="F56" s="30" t="n">
        <x:v>178</x:v>
      </x:c>
      <x:c r="G56" s="30" t="n">
        <x:v>2</x:v>
      </x:c>
      <x:c r="H56" s="30" t="str">
        <x:v>50-80</x:v>
      </x:c>
      <x:c r="I56" s="31" t="n">
        <x:v>49.5</x:v>
      </x:c>
      <x:c r="J56" s="31" t="n">
        <x:v>80.5</x:v>
      </x:c>
      <x:c r="K56" s="32" t="b">
        <x:v>0</x:v>
      </x:c>
      <x:c r="L56" s="32" t="b">
        <x:v>0</x:v>
      </x:c>
      <x:c r="M56" s="31" t="n">
        <x:v>1.03</x:v>
      </x:c>
      <x:c r="N56" s="31" t="n">
        <x:v>0.67</x:v>
      </x:c>
      <x:c r="O56" s="31" t="n">
        <x:v>1.57</x:v>
      </x:c>
      <x:c r="P56" s="30" t="str">
        <x:v>Time-weighted mean radon concentration (Bq/m^3)</x:v>
      </x:c>
      <x:c r="Q56" s="30" t="str">
        <x:v>Pavia et al. (2003), Table 2</x:v>
      </x:c>
      <x:c r="R56" s="30" t="str">
        <x:v>https://www.scielosp.org/pdf/bwho/2003.v81n10/732-738/en</x:v>
      </x:c>
    </x:row>
    <x:row r="57" ht="15" hidden="0" customHeight="1">
      <x:c r="A57" s="30" t="str">
        <x:v>Lagarde2001</x:v>
      </x:c>
      <x:c r="B57" s="30" t="str">
        <x:v>Lagarde et al.</x:v>
      </x:c>
      <x:c r="C57" s="30" t="n">
        <x:v>2001</x:v>
      </x:c>
      <x:c r="D57" s="30" t="str">
        <x:v>Sweden</x:v>
      </x:c>
      <x:c r="E57" s="30" t="n">
        <x:v>86</x:v>
      </x:c>
      <x:c r="F57" s="30" t="n">
        <x:v>178</x:v>
      </x:c>
      <x:c r="G57" s="30" t="n">
        <x:v>3</x:v>
      </x:c>
      <x:c r="H57" s="30" t="str">
        <x:v>81-140</x:v>
      </x:c>
      <x:c r="I57" s="31" t="n">
        <x:v>80.5</x:v>
      </x:c>
      <x:c r="J57" s="31" t="n">
        <x:v>140.5</x:v>
      </x:c>
      <x:c r="K57" s="32" t="b">
        <x:v>0</x:v>
      </x:c>
      <x:c r="L57" s="32" t="b">
        <x:v>0</x:v>
      </x:c>
      <x:c r="M57" s="31" t="n">
        <x:v>1.14</x:v>
      </x:c>
      <x:c r="N57" s="31" t="n">
        <x:v>0.72</x:v>
      </x:c>
      <x:c r="O57" s="31" t="n">
        <x:v>1.8</x:v>
      </x:c>
      <x:c r="P57" s="30" t="str">
        <x:v>Time-weighted mean radon concentration (Bq/m^3)</x:v>
      </x:c>
      <x:c r="Q57" s="30" t="str">
        <x:v>Pavia et al. (2003), Table 2</x:v>
      </x:c>
      <x:c r="R57" s="30" t="str">
        <x:v>https://www.scielosp.org/pdf/bwho/2003.v81n10/732-738/en</x:v>
      </x:c>
    </x:row>
    <x:row r="58" ht="15" hidden="0" customHeight="1">
      <x:c r="A58" s="30" t="str">
        <x:v>Lagarde2001</x:v>
      </x:c>
      <x:c r="B58" s="30" t="str">
        <x:v>Lagarde et al.</x:v>
      </x:c>
      <x:c r="C58" s="30" t="n">
        <x:v>2001</x:v>
      </x:c>
      <x:c r="D58" s="30" t="str">
        <x:v>Sweden</x:v>
      </x:c>
      <x:c r="E58" s="30" t="n">
        <x:v>86</x:v>
      </x:c>
      <x:c r="F58" s="30" t="n">
        <x:v>178</x:v>
      </x:c>
      <x:c r="G58" s="30" t="n">
        <x:v>4</x:v>
      </x:c>
      <x:c r="H58" s="30" t="str">
        <x:v>&gt;140</x:v>
      </x:c>
      <x:c r="I58" s="31" t="n">
        <x:v>140.5</x:v>
      </x:c>
      <x:c r="J58" s="31"/>
      <x:c r="K58" s="32" t="b">
        <x:v>1</x:v>
      </x:c>
      <x:c r="L58" s="32" t="b">
        <x:v>0</x:v>
      </x:c>
      <x:c r="M58" s="31" t="n">
        <x:v>1.65</x:v>
      </x:c>
      <x:c r="N58" s="31" t="n">
        <x:v>0.88</x:v>
      </x:c>
      <x:c r="O58" s="31" t="n">
        <x:v>2.7</x:v>
      </x:c>
      <x:c r="P58" s="30" t="str">
        <x:v>Time-weighted mean radon concentration (Bq/m^3)</x:v>
      </x:c>
      <x:c r="Q58" s="30" t="str">
        <x:v>Pavia et al. (2003), Table 2</x:v>
      </x:c>
      <x:c r="R58" s="30" t="str">
        <x:v>https://www.scielosp.org/pdf/bwho/2003.v81n10/732-738/en</x:v>
      </x:c>
    </x:row>
    <x:row r="59" ht="15" hidden="0" customHeight="1">
      <x:c r="A59" s="30" t="str">
        <x:v>Pisa2001</x:v>
      </x:c>
      <x:c r="B59" s="30" t="str">
        <x:v>Pisa et al.</x:v>
      </x:c>
      <x:c r="C59" s="30" t="n">
        <x:v>2001</x:v>
      </x:c>
      <x:c r="D59" s="30" t="str">
        <x:v>Italy</x:v>
      </x:c>
      <x:c r="E59" s="30" t="n">
        <x:v>138</x:v>
      </x:c>
      <x:c r="F59" s="30" t="n">
        <x:v>291</x:v>
      </x:c>
      <x:c r="G59" s="30" t="n">
        <x:v>1</x:v>
      </x:c>
      <x:c r="H59" s="30" t="str">
        <x:v>&lt;40</x:v>
      </x:c>
      <x:c r="I59" s="31" t="n">
        <x:v>0</x:v>
      </x:c>
      <x:c r="J59" s="31" t="n">
        <x:v>39.5</x:v>
      </x:c>
      <x:c r="K59" s="32" t="b">
        <x:v>0</x:v>
      </x:c>
      <x:c r="L59" s="32" t="b">
        <x:v>1</x:v>
      </x:c>
      <x:c r="M59" s="31" t="n">
        <x:v>1</x:v>
      </x:c>
      <x:c r="N59" s="31"/>
      <x:c r="O59" s="31"/>
      <x:c r="P59" s="30" t="str">
        <x:v>Time-weighted mean radon concentration (Bq/m^3)</x:v>
      </x:c>
      <x:c r="Q59" s="30" t="str">
        <x:v>Pavia et al. (2003), Table 2</x:v>
      </x:c>
      <x:c r="R59" s="30" t="str">
        <x:v>https://www.scielosp.org/pdf/bwho/2003.v81n10/732-738/en</x:v>
      </x:c>
    </x:row>
    <x:row r="60" ht="15" hidden="0" customHeight="1">
      <x:c r="A60" s="30" t="str">
        <x:v>Pisa2001</x:v>
      </x:c>
      <x:c r="B60" s="30" t="str">
        <x:v>Pisa et al.</x:v>
      </x:c>
      <x:c r="C60" s="30" t="n">
        <x:v>2001</x:v>
      </x:c>
      <x:c r="D60" s="30" t="str">
        <x:v>Italy</x:v>
      </x:c>
      <x:c r="E60" s="30" t="n">
        <x:v>138</x:v>
      </x:c>
      <x:c r="F60" s="30" t="n">
        <x:v>291</x:v>
      </x:c>
      <x:c r="G60" s="30" t="n">
        <x:v>2</x:v>
      </x:c>
      <x:c r="H60" s="30" t="str">
        <x:v>40-76</x:v>
      </x:c>
      <x:c r="I60" s="31" t="n">
        <x:v>39.5</x:v>
      </x:c>
      <x:c r="J60" s="31" t="n">
        <x:v>76.5</x:v>
      </x:c>
      <x:c r="K60" s="32" t="b">
        <x:v>0</x:v>
      </x:c>
      <x:c r="L60" s="32" t="b">
        <x:v>0</x:v>
      </x:c>
      <x:c r="M60" s="31" t="n">
        <x:v>2</x:v>
      </x:c>
      <x:c r="N60" s="31" t="n">
        <x:v>1</x:v>
      </x:c>
      <x:c r="O60" s="31" t="n">
        <x:v>3.9</x:v>
      </x:c>
      <x:c r="P60" s="30" t="str">
        <x:v>Time-weighted mean radon concentration (Bq/m^3)</x:v>
      </x:c>
      <x:c r="Q60" s="30" t="str">
        <x:v>Pavia et al. (2003), Table 2</x:v>
      </x:c>
      <x:c r="R60" s="30" t="str">
        <x:v>https://www.scielosp.org/pdf/bwho/2003.v81n10/732-738/en</x:v>
      </x:c>
    </x:row>
    <x:row r="61" ht="15" hidden="0" customHeight="1">
      <x:c r="A61" s="30" t="str">
        <x:v>Pisa2001</x:v>
      </x:c>
      <x:c r="B61" s="30" t="str">
        <x:v>Pisa et al.</x:v>
      </x:c>
      <x:c r="C61" s="30" t="n">
        <x:v>2001</x:v>
      </x:c>
      <x:c r="D61" s="30" t="str">
        <x:v>Italy</x:v>
      </x:c>
      <x:c r="E61" s="30" t="n">
        <x:v>138</x:v>
      </x:c>
      <x:c r="F61" s="30" t="n">
        <x:v>291</x:v>
      </x:c>
      <x:c r="G61" s="30" t="n">
        <x:v>3</x:v>
      </x:c>
      <x:c r="H61" s="30" t="str">
        <x:v>77-139</x:v>
      </x:c>
      <x:c r="I61" s="31" t="n">
        <x:v>76.5</x:v>
      </x:c>
      <x:c r="J61" s="31" t="n">
        <x:v>139.5</x:v>
      </x:c>
      <x:c r="K61" s="32" t="b">
        <x:v>0</x:v>
      </x:c>
      <x:c r="L61" s="32" t="b">
        <x:v>0</x:v>
      </x:c>
      <x:c r="M61" s="31" t="n">
        <x:v>1.8</x:v>
      </x:c>
      <x:c r="N61" s="31" t="n">
        <x:v>0.9</x:v>
      </x:c>
      <x:c r="O61" s="31" t="n">
        <x:v>6.2</x:v>
      </x:c>
      <x:c r="P61" s="30" t="str">
        <x:v>Time-weighted mean radon concentration (Bq/m^3)</x:v>
      </x:c>
      <x:c r="Q61" s="30" t="str">
        <x:v>Pavia et al. (2003), Table 2</x:v>
      </x:c>
      <x:c r="R61" s="30" t="str">
        <x:v>https://www.scielosp.org/pdf/bwho/2003.v81n10/732-738/en</x:v>
      </x:c>
    </x:row>
    <x:row r="62" ht="15" hidden="0" customHeight="1">
      <x:c r="A62" s="30" t="str">
        <x:v>Pisa2001</x:v>
      </x:c>
      <x:c r="B62" s="30" t="str">
        <x:v>Pisa et al.</x:v>
      </x:c>
      <x:c r="C62" s="30" t="n">
        <x:v>2001</x:v>
      </x:c>
      <x:c r="D62" s="30" t="str">
        <x:v>Italy</x:v>
      </x:c>
      <x:c r="E62" s="30" t="n">
        <x:v>138</x:v>
      </x:c>
      <x:c r="F62" s="30" t="n">
        <x:v>291</x:v>
      </x:c>
      <x:c r="G62" s="30" t="n">
        <x:v>4</x:v>
      </x:c>
      <x:c r="H62" s="30" t="str">
        <x:v>140-199</x:v>
      </x:c>
      <x:c r="I62" s="31" t="n">
        <x:v>139.5</x:v>
      </x:c>
      <x:c r="J62" s="31" t="n">
        <x:v>199.5</x:v>
      </x:c>
      <x:c r="K62" s="32" t="b">
        <x:v>0</x:v>
      </x:c>
      <x:c r="L62" s="32" t="b">
        <x:v>0</x:v>
      </x:c>
      <x:c r="M62" s="31" t="n">
        <x:v>2.4</x:v>
      </x:c>
      <x:c r="N62" s="31" t="n">
        <x:v>0.9</x:v>
      </x:c>
      <x:c r="O62" s="31" t="n">
        <x:v>6.2</x:v>
      </x:c>
      <x:c r="P62" s="30" t="str">
        <x:v>Time-weighted mean radon concentration (Bq/m^3)</x:v>
      </x:c>
      <x:c r="Q62" s="30" t="str">
        <x:v>Pavia et al. (2003), Table 2</x:v>
      </x:c>
      <x:c r="R62" s="30" t="str">
        <x:v>https://www.scielosp.org/pdf/bwho/2003.v81n10/732-738/en</x:v>
      </x:c>
    </x:row>
    <x:row r="63" ht="15" hidden="0" customHeight="1">
      <x:c r="A63" s="30" t="str">
        <x:v>Pisa2001</x:v>
      </x:c>
      <x:c r="B63" s="30" t="str">
        <x:v>Pisa et al.</x:v>
      </x:c>
      <x:c r="C63" s="30" t="n">
        <x:v>2001</x:v>
      </x:c>
      <x:c r="D63" s="30" t="str">
        <x:v>Italy</x:v>
      </x:c>
      <x:c r="E63" s="30" t="n">
        <x:v>138</x:v>
      </x:c>
      <x:c r="F63" s="30" t="n">
        <x:v>291</x:v>
      </x:c>
      <x:c r="G63" s="30" t="n">
        <x:v>5</x:v>
      </x:c>
      <x:c r="H63" s="30" t="str">
        <x:v>&gt;=200</x:v>
      </x:c>
      <x:c r="I63" s="31" t="n">
        <x:v>199.5</x:v>
      </x:c>
      <x:c r="J63" s="31"/>
      <x:c r="K63" s="32" t="b">
        <x:v>1</x:v>
      </x:c>
      <x:c r="L63" s="32" t="b">
        <x:v>0</x:v>
      </x:c>
      <x:c r="M63" s="31" t="n">
        <x:v>1</x:v>
      </x:c>
      <x:c r="N63" s="31" t="n">
        <x:v>0.3</x:v>
      </x:c>
      <x:c r="O63" s="31" t="n">
        <x:v>3.1</x:v>
      </x:c>
      <x:c r="P63" s="30" t="str">
        <x:v>Time-weighted mean radon concentration (Bq/m^3)</x:v>
      </x:c>
      <x:c r="Q63" s="30" t="str">
        <x:v>Pavia et al. (2003), Table 2</x:v>
      </x:c>
      <x:c r="R63" s="30" t="str">
        <x:v>https://www.scielosp.org/pdf/bwho/2003.v81n10/732-738/en</x:v>
      </x:c>
    </x:row>
    <x:row r="64" ht="15" hidden="0" customHeight="1">
      <x:c r="A64" s="30" t="str">
        <x:v>Wang2002</x:v>
      </x:c>
      <x:c r="B64" s="30" t="str">
        <x:v>Wang et al.</x:v>
      </x:c>
      <x:c r="C64" s="30" t="n">
        <x:v>2002</x:v>
      </x:c>
      <x:c r="D64" s="30" t="str">
        <x:v>China</x:v>
      </x:c>
      <x:c r="E64" s="30" t="n">
        <x:v>768</x:v>
      </x:c>
      <x:c r="F64" s="30" t="n">
        <x:v>1659</x:v>
      </x:c>
      <x:c r="G64" s="30" t="n">
        <x:v>1</x:v>
      </x:c>
      <x:c r="H64" s="30" t="str">
        <x:v>&lt;100</x:v>
      </x:c>
      <x:c r="I64" s="31" t="n">
        <x:v>0</x:v>
      </x:c>
      <x:c r="J64" s="31" t="n">
        <x:v>99.5</x:v>
      </x:c>
      <x:c r="K64" s="32" t="b">
        <x:v>0</x:v>
      </x:c>
      <x:c r="L64" s="32" t="b">
        <x:v>1</x:v>
      </x:c>
      <x:c r="M64" s="31" t="n">
        <x:v>1</x:v>
      </x:c>
      <x:c r="N64" s="31"/>
      <x:c r="O64" s="31"/>
      <x:c r="P64" s="30" t="str">
        <x:v>Time-weighted mean radon concentration (Bq/m^3)</x:v>
      </x:c>
      <x:c r="Q64" s="30" t="str">
        <x:v>Pavia et al. (2003), Table 2</x:v>
      </x:c>
      <x:c r="R64" s="30" t="str">
        <x:v>https://www.scielosp.org/pdf/bwho/2003.v81n10/732-738/en</x:v>
      </x:c>
    </x:row>
    <x:row r="65" ht="15" hidden="0" customHeight="1">
      <x:c r="A65" s="30" t="str">
        <x:v>Wang2002</x:v>
      </x:c>
      <x:c r="B65" s="30" t="str">
        <x:v>Wang et al.</x:v>
      </x:c>
      <x:c r="C65" s="30" t="n">
        <x:v>2002</x:v>
      </x:c>
      <x:c r="D65" s="30" t="str">
        <x:v>China</x:v>
      </x:c>
      <x:c r="E65" s="30" t="n">
        <x:v>768</x:v>
      </x:c>
      <x:c r="F65" s="30" t="n">
        <x:v>1659</x:v>
      </x:c>
      <x:c r="G65" s="30" t="n">
        <x:v>2</x:v>
      </x:c>
      <x:c r="H65" s="30" t="str">
        <x:v>100-149</x:v>
      </x:c>
      <x:c r="I65" s="31" t="n">
        <x:v>99.5</x:v>
      </x:c>
      <x:c r="J65" s="31" t="n">
        <x:v>149.5</x:v>
      </x:c>
      <x:c r="K65" s="32" t="b">
        <x:v>0</x:v>
      </x:c>
      <x:c r="L65" s="32" t="b">
        <x:v>0</x:v>
      </x:c>
      <x:c r="M65" s="31" t="n">
        <x:v>1</x:v>
      </x:c>
      <x:c r="N65" s="31" t="n">
        <x:v>0.7</x:v>
      </x:c>
      <x:c r="O65" s="31" t="n">
        <x:v>1.5</x:v>
      </x:c>
      <x:c r="P65" s="30" t="str">
        <x:v>Time-weighted mean radon concentration (Bq/m^3)</x:v>
      </x:c>
      <x:c r="Q65" s="30" t="str">
        <x:v>Pavia et al. (2003), Table 2</x:v>
      </x:c>
      <x:c r="R65" s="30" t="str">
        <x:v>https://www.scielosp.org/pdf/bwho/2003.v81n10/732-738/en</x:v>
      </x:c>
    </x:row>
    <x:row r="66" ht="15" hidden="0" customHeight="1">
      <x:c r="A66" s="30" t="str">
        <x:v>Wang2002</x:v>
      </x:c>
      <x:c r="B66" s="30" t="str">
        <x:v>Wang et al.</x:v>
      </x:c>
      <x:c r="C66" s="30" t="n">
        <x:v>2002</x:v>
      </x:c>
      <x:c r="D66" s="30" t="str">
        <x:v>China</x:v>
      </x:c>
      <x:c r="E66" s="30" t="n">
        <x:v>768</x:v>
      </x:c>
      <x:c r="F66" s="30" t="n">
        <x:v>1659</x:v>
      </x:c>
      <x:c r="G66" s="30" t="n">
        <x:v>3</x:v>
      </x:c>
      <x:c r="H66" s="30" t="str">
        <x:v>150-199</x:v>
      </x:c>
      <x:c r="I66" s="31" t="n">
        <x:v>149.5</x:v>
      </x:c>
      <x:c r="J66" s="31" t="n">
        <x:v>199.5</x:v>
      </x:c>
      <x:c r="K66" s="32" t="b">
        <x:v>0</x:v>
      </x:c>
      <x:c r="L66" s="32" t="b">
        <x:v>0</x:v>
      </x:c>
      <x:c r="M66" s="31" t="n">
        <x:v>1.42</x:v>
      </x:c>
      <x:c r="N66" s="31" t="n">
        <x:v>1</x:v>
      </x:c>
      <x:c r="O66" s="31" t="n">
        <x:v>2</x:v>
      </x:c>
      <x:c r="P66" s="30" t="str">
        <x:v>Time-weighted mean radon concentration (Bq/m^3)</x:v>
      </x:c>
      <x:c r="Q66" s="30" t="str">
        <x:v>Pavia et al. (2003), Table 2</x:v>
      </x:c>
      <x:c r="R66" s="30" t="str">
        <x:v>https://www.scielosp.org/pdf/bwho/2003.v81n10/732-738/en</x:v>
      </x:c>
    </x:row>
    <x:row r="67" ht="15" hidden="0" customHeight="1">
      <x:c r="A67" s="30" t="str">
        <x:v>Wang2002</x:v>
      </x:c>
      <x:c r="B67" s="30" t="str">
        <x:v>Wang et al.</x:v>
      </x:c>
      <x:c r="C67" s="30" t="n">
        <x:v>2002</x:v>
      </x:c>
      <x:c r="D67" s="30" t="str">
        <x:v>China</x:v>
      </x:c>
      <x:c r="E67" s="30" t="n">
        <x:v>768</x:v>
      </x:c>
      <x:c r="F67" s="30" t="n">
        <x:v>1659</x:v>
      </x:c>
      <x:c r="G67" s="30" t="n">
        <x:v>4</x:v>
      </x:c>
      <x:c r="H67" s="30" t="str">
        <x:v>200-249</x:v>
      </x:c>
      <x:c r="I67" s="31" t="n">
        <x:v>199.5</x:v>
      </x:c>
      <x:c r="J67" s="31" t="n">
        <x:v>249.5</x:v>
      </x:c>
      <x:c r="K67" s="32" t="b">
        <x:v>0</x:v>
      </x:c>
      <x:c r="L67" s="32" t="b">
        <x:v>0</x:v>
      </x:c>
      <x:c r="M67" s="31" t="n">
        <x:v>1.36</x:v>
      </x:c>
      <x:c r="N67" s="31" t="n">
        <x:v>1</x:v>
      </x:c>
      <x:c r="O67" s="31" t="n">
        <x:v>1.9</x:v>
      </x:c>
      <x:c r="P67" s="30" t="str">
        <x:v>Time-weighted mean radon concentration (Bq/m^3)</x:v>
      </x:c>
      <x:c r="Q67" s="30" t="str">
        <x:v>Pavia et al. (2003), Table 2</x:v>
      </x:c>
      <x:c r="R67" s="30" t="str">
        <x:v>https://www.scielosp.org/pdf/bwho/2003.v81n10/732-738/en</x:v>
      </x:c>
    </x:row>
    <x:row r="68" ht="15" hidden="0" customHeight="1">
      <x:c r="A68" s="30" t="str">
        <x:v>Wang2002</x:v>
      </x:c>
      <x:c r="B68" s="30" t="str">
        <x:v>Wang et al.</x:v>
      </x:c>
      <x:c r="C68" s="30" t="n">
        <x:v>2002</x:v>
      </x:c>
      <x:c r="D68" s="30" t="str">
        <x:v>China</x:v>
      </x:c>
      <x:c r="E68" s="30" t="n">
        <x:v>768</x:v>
      </x:c>
      <x:c r="F68" s="30" t="n">
        <x:v>1659</x:v>
      </x:c>
      <x:c r="G68" s="30" t="n">
        <x:v>5</x:v>
      </x:c>
      <x:c r="H68" s="30" t="str">
        <x:v>250-299</x:v>
      </x:c>
      <x:c r="I68" s="31" t="n">
        <x:v>249.5</x:v>
      </x:c>
      <x:c r="J68" s="31" t="n">
        <x:v>299.5</x:v>
      </x:c>
      <x:c r="K68" s="32" t="b">
        <x:v>0</x:v>
      </x:c>
      <x:c r="L68" s="32" t="b">
        <x:v>0</x:v>
      </x:c>
      <x:c r="M68" s="31" t="n">
        <x:v>1.28</x:v>
      </x:c>
      <x:c r="N68" s="31" t="n">
        <x:v>0.8</x:v>
      </x:c>
      <x:c r="O68" s="31" t="n">
        <x:v>1.9</x:v>
      </x:c>
      <x:c r="P68" s="30" t="str">
        <x:v>Time-weighted mean radon concentration (Bq/m^3)</x:v>
      </x:c>
      <x:c r="Q68" s="30" t="str">
        <x:v>Pavia et al. (2003), Table 2</x:v>
      </x:c>
      <x:c r="R68" s="30" t="str">
        <x:v>https://www.scielosp.org/pdf/bwho/2003.v81n10/732-738/en</x:v>
      </x:c>
    </x:row>
    <x:row r="69" ht="15" hidden="0" customHeight="1">
      <x:c r="A69" s="30" t="str">
        <x:v>Wang2002</x:v>
      </x:c>
      <x:c r="B69" s="30" t="str">
        <x:v>Wang et al.</x:v>
      </x:c>
      <x:c r="C69" s="30" t="n">
        <x:v>2002</x:v>
      </x:c>
      <x:c r="D69" s="30" t="str">
        <x:v>China</x:v>
      </x:c>
      <x:c r="E69" s="30" t="n">
        <x:v>768</x:v>
      </x:c>
      <x:c r="F69" s="30" t="n">
        <x:v>1659</x:v>
      </x:c>
      <x:c r="G69" s="30" t="n">
        <x:v>6</x:v>
      </x:c>
      <x:c r="H69" s="30" t="str">
        <x:v>&gt;=300</x:v>
      </x:c>
      <x:c r="I69" s="31" t="n">
        <x:v>299.5</x:v>
      </x:c>
      <x:c r="J69" s="31"/>
      <x:c r="K69" s="32" t="b">
        <x:v>1</x:v>
      </x:c>
      <x:c r="L69" s="32" t="b">
        <x:v>0</x:v>
      </x:c>
      <x:c r="M69" s="31" t="n">
        <x:v>1.58</x:v>
      </x:c>
      <x:c r="N69" s="31" t="n">
        <x:v>1.1</x:v>
      </x:c>
      <x:c r="O69" s="31" t="n">
        <x:v>2.3</x:v>
      </x:c>
      <x:c r="P69" s="30" t="str">
        <x:v>Time-weighted mean radon concentration (Bq/m^3)</x:v>
      </x:c>
      <x:c r="Q69" s="30" t="str">
        <x:v>Pavia et al. (2003), Table 2</x:v>
      </x:c>
      <x:c r="R69" s="30" t="str">
        <x:v>https://www.scielosp.org/pdf/bwho/2003.v81n10/732-738/en</x:v>
      </x:c>
    </x:row>
    <x:row r="70" ht="15" hidden="0" customHeight="1">
      <x:c r="A70" s="30" t="str">
        <x:v>BarrosDios2002</x:v>
      </x:c>
      <x:c r="B70" s="30" t="str">
        <x:v>Barros-Dios et al.</x:v>
      </x:c>
      <x:c r="C70" s="30" t="n">
        <x:v>2002</x:v>
      </x:c>
      <x:c r="D70" s="30" t="str">
        <x:v>Spain</x:v>
      </x:c>
      <x:c r="E70" s="30" t="n">
        <x:v>163</x:v>
      </x:c>
      <x:c r="F70" s="30" t="n">
        <x:v>241</x:v>
      </x:c>
      <x:c r="G70" s="30" t="n">
        <x:v>1</x:v>
      </x:c>
      <x:c r="H70" s="30" t="str">
        <x:v>0-37</x:v>
      </x:c>
      <x:c r="I70" s="31" t="n">
        <x:v>0</x:v>
      </x:c>
      <x:c r="J70" s="31" t="n">
        <x:v>37</x:v>
      </x:c>
      <x:c r="K70" s="32" t="b">
        <x:v>0</x:v>
      </x:c>
      <x:c r="L70" s="32" t="b">
        <x:v>1</x:v>
      </x:c>
      <x:c r="M70" s="31" t="n">
        <x:v>1</x:v>
      </x:c>
      <x:c r="N70" s="31"/>
      <x:c r="O70" s="31"/>
      <x:c r="P70" s="30" t="str">
        <x:v>Time-weighted mean radon concentration (Bq/m^3)</x:v>
      </x:c>
      <x:c r="Q70" s="30" t="str">
        <x:v>Pavia et al. (2003), Table 2</x:v>
      </x:c>
      <x:c r="R70" s="30" t="str">
        <x:v>https://www.scielosp.org/pdf/bwho/2003.v81n10/732-738/en</x:v>
      </x:c>
    </x:row>
    <x:row r="71" ht="15" hidden="0" customHeight="1">
      <x:c r="A71" s="30" t="str">
        <x:v>BarrosDios2002</x:v>
      </x:c>
      <x:c r="B71" s="30" t="str">
        <x:v>Barros-Dios et al.</x:v>
      </x:c>
      <x:c r="C71" s="30" t="n">
        <x:v>2002</x:v>
      </x:c>
      <x:c r="D71" s="30" t="str">
        <x:v>Spain</x:v>
      </x:c>
      <x:c r="E71" s="30" t="n">
        <x:v>163</x:v>
      </x:c>
      <x:c r="F71" s="30" t="n">
        <x:v>241</x:v>
      </x:c>
      <x:c r="G71" s="30" t="n">
        <x:v>2</x:v>
      </x:c>
      <x:c r="H71" s="30" t="str">
        <x:v>37-55.1</x:v>
      </x:c>
      <x:c r="I71" s="31" t="n">
        <x:v>37</x:v>
      </x:c>
      <x:c r="J71" s="31" t="n">
        <x:v>55.2</x:v>
      </x:c>
      <x:c r="K71" s="32" t="b">
        <x:v>0</x:v>
      </x:c>
      <x:c r="L71" s="32" t="b">
        <x:v>0</x:v>
      </x:c>
      <x:c r="M71" s="31" t="n">
        <x:v>2.73</x:v>
      </x:c>
      <x:c r="N71" s="31" t="n">
        <x:v>1.12</x:v>
      </x:c>
      <x:c r="O71" s="31" t="n">
        <x:v>5.48</x:v>
      </x:c>
      <x:c r="P71" s="30" t="str">
        <x:v>Time-weighted mean radon concentration (Bq/m^3)</x:v>
      </x:c>
      <x:c r="Q71" s="30" t="str">
        <x:v>Pavia et al. (2003), Table 2</x:v>
      </x:c>
      <x:c r="R71" s="30" t="str">
        <x:v>https://www.scielosp.org/pdf/bwho/2003.v81n10/732-738/en</x:v>
      </x:c>
    </x:row>
    <x:row r="72" ht="15" hidden="0" customHeight="1">
      <x:c r="A72" s="30" t="str">
        <x:v>BarrosDios2002</x:v>
      </x:c>
      <x:c r="B72" s="30" t="str">
        <x:v>Barros-Dios et al.</x:v>
      </x:c>
      <x:c r="C72" s="30" t="n">
        <x:v>2002</x:v>
      </x:c>
      <x:c r="D72" s="30" t="str">
        <x:v>Spain</x:v>
      </x:c>
      <x:c r="E72" s="30" t="n">
        <x:v>163</x:v>
      </x:c>
      <x:c r="F72" s="30" t="n">
        <x:v>241</x:v>
      </x:c>
      <x:c r="G72" s="30" t="n">
        <x:v>3</x:v>
      </x:c>
      <x:c r="H72" s="30" t="str">
        <x:v>55.2-147.9</x:v>
      </x:c>
      <x:c r="I72" s="31" t="n">
        <x:v>55.2</x:v>
      </x:c>
      <x:c r="J72" s="31" t="n">
        <x:v>148</x:v>
      </x:c>
      <x:c r="K72" s="32" t="b">
        <x:v>0</x:v>
      </x:c>
      <x:c r="L72" s="32" t="b">
        <x:v>0</x:v>
      </x:c>
      <x:c r="M72" s="31" t="n">
        <x:v>2.48</x:v>
      </x:c>
      <x:c r="N72" s="31" t="n">
        <x:v>1.29</x:v>
      </x:c>
      <x:c r="O72" s="31" t="n">
        <x:v>6.79</x:v>
      </x:c>
      <x:c r="P72" s="30" t="str">
        <x:v>Time-weighted mean radon concentration (Bq/m^3)</x:v>
      </x:c>
      <x:c r="Q72" s="30" t="str">
        <x:v>Pavia et al. (2003), Table 2</x:v>
      </x:c>
      <x:c r="R72" s="30" t="str">
        <x:v>https://www.scielosp.org/pdf/bwho/2003.v81n10/732-738/en</x:v>
      </x:c>
    </x:row>
    <x:row r="73" ht="15" hidden="0" customHeight="1">
      <x:c r="A73" s="30" t="str">
        <x:v>BarrosDios2002</x:v>
      </x:c>
      <x:c r="B73" s="30" t="str">
        <x:v>Barros-Dios et al.</x:v>
      </x:c>
      <x:c r="C73" s="30" t="n">
        <x:v>2002</x:v>
      </x:c>
      <x:c r="D73" s="30" t="str">
        <x:v>Spain</x:v>
      </x:c>
      <x:c r="E73" s="30" t="n">
        <x:v>163</x:v>
      </x:c>
      <x:c r="F73" s="30" t="n">
        <x:v>241</x:v>
      </x:c>
      <x:c r="G73" s="30" t="n">
        <x:v>4</x:v>
      </x:c>
      <x:c r="H73" s="30" t="str">
        <x:v>&gt;=148</x:v>
      </x:c>
      <x:c r="I73" s="31" t="n">
        <x:v>148</x:v>
      </x:c>
      <x:c r="J73" s="31"/>
      <x:c r="K73" s="32" t="b">
        <x:v>1</x:v>
      </x:c>
      <x:c r="L73" s="32" t="b">
        <x:v>0</x:v>
      </x:c>
      <x:c r="M73" s="31" t="n">
        <x:v>2.96</x:v>
      </x:c>
      <x:c r="N73" s="31" t="n">
        <x:v>1.29</x:v>
      </x:c>
      <x:c r="O73" s="31" t="n">
        <x:v>6.79</x:v>
      </x:c>
      <x:c r="P73" s="30" t="str">
        <x:v>Time-weighted mean radon concentration (Bq/m^3)</x:v>
      </x:c>
      <x:c r="Q73" s="30" t="str">
        <x:v>Pavia et al. (2003), Table 2</x:v>
      </x:c>
      <x:c r="R73" s="30" t="str">
        <x:v>https://www.scielosp.org/pdf/bwho/2003.v81n10/732-738/en</x:v>
      </x:c>
    </x:row>
  </x:sheetData>
  <x:pageMargins left="0.7" right="0.7" top="0.75" bottom="0.75" header="0.3" footer="0.3"/>
  <x:tableParts count="1">
    <x:tablePart xmlns:r="http://schemas.openxmlformats.org/officeDocument/2006/relationships" r:id="R23ec18d2799141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.5" hidden="0" customWidth="1"/>
    <x:col min="3" max="3" width="16.5" hidden="0" customWidth="1"/>
    <x:col min="4" max="4" width="11.5" hidden="0" customWidth="1"/>
    <x:col min="5" max="5" width="38" hidden="0" customWidth="1"/>
    <x:col min="6" max="6" width="48" hidden="0" customWidth="1"/>
    <x:col min="7" max="7" width="16.75" hidden="0" customWidth="1"/>
    <x:col min="8" max="8" width="16.75" hidden="0" customWidth="1"/>
    <x:col min="9" max="9" width="17" hidden="0" customWidth="1"/>
    <x:col min="10" max="10" width="28" hidden="0" customWidth="1"/>
    <x:col min="11" max="11" width="48" hidden="0" customWidth="1"/>
    <x:col min="12" max="12" width="42" hidden="0" customWidth="1"/>
    <x:col min="13" max="13" width="17.8799991607666" hidden="0" customWidth="1"/>
  </x:cols>
  <x:sheetData>
    <x:row r="1" ht="15" hidden="0" customHeight="1">
      <x:c r="A1" s="23" t="str">
        <x:v>country</x:v>
      </x:c>
      <x:c r="B1" s="23" t="str">
        <x:v>primary_am_bq_m3</x:v>
      </x:c>
      <x:c r="C1" s="23" t="str">
        <x:v>primary_gm_bq_m3</x:v>
      </x:c>
      <x:c r="D1" s="23" t="str">
        <x:v>primary_gsd</x:v>
      </x:c>
      <x:c r="E1" s="23" t="str">
        <x:v>primary_source</x:v>
      </x:c>
      <x:c r="F1" s="23" t="str">
        <x:v>primary_source_url</x:v>
      </x:c>
      <x:c r="G1" s="23" t="str">
        <x:v>sensitivity_am_2024</x:v>
      </x:c>
      <x:c r="H1" s="23" t="str">
        <x:v>sensitivity_gm_2024</x:v>
      </x:c>
      <x:c r="I1" s="23" t="str">
        <x:v>sensitivity_gsd_2024</x:v>
      </x:c>
      <x:c r="J1" s="23" t="str">
        <x:v>sensitivity_source</x:v>
      </x:c>
      <x:c r="K1" s="23" t="str">
        <x:v>sensitivity_source_url</x:v>
      </x:c>
      <x:c r="L1" s="23" t="str">
        <x:v>notes</x:v>
      </x:c>
      <x:c r="M1" s="23" t="str">
        <x:v>gsd_derivation_check</x:v>
      </x:c>
    </x:row>
    <x:row r="2" ht="21.600000381469727" hidden="0" customHeight="1">
      <x:c r="A2" s="30" t="str">
        <x:v>China</x:v>
      </x:c>
      <x:c r="B2" s="33" t="n">
        <x:v>24</x:v>
      </x:c>
      <x:c r="C2" s="33" t="n">
        <x:v>20</x:v>
      </x:c>
      <x:c r="D2" s="33" t="n">
        <x:v>2.2</x:v>
      </x:c>
      <x:c r="E2" s="30" t="str">
        <x:v>UNSCEAR 2000 Table 24</x:v>
      </x:c>
      <x:c r="F2" s="30" t="str">
        <x:v>https://www.unscear.org/docs/publications/2000/UNSCEAR_2000_Annex-B.pdf</x:v>
      </x:c>
      <x:c r="G2" s="33" t="n">
        <x:v>55</x:v>
      </x:c>
      <x:c r="H2" s="33" t="n">
        <x:v>40</x:v>
      </x:c>
      <x:c r="I2" s="33" t="n">
        <x:v>2.4</x:v>
      </x:c>
      <x:c r="J2" s="30" t="str">
        <x:v>UNSCEAR 2024 Table 2</x:v>
      </x:c>
      <x:c r="K2" s="30" t="str">
        <x:v>https://www.unscear.org/unscear/uploads/documents/unscear-reports/UNSCEAR_2024_Report_Vol.II.pdf</x:v>
      </x:c>
      <x:c r="L2" s="30" t="str">
        <x:v>Primary values contemporaneous with the epidemiologic studies.</x:v>
      </x:c>
      <x:c r="M2" s="33" t="n">
        <x:f>D2</x:f>
        <x:v>2.2</x:v>
      </x:c>
    </x:row>
    <x:row r="3" ht="21.600000381469727" hidden="0" customHeight="1">
      <x:c r="A3" s="30" t="str">
        <x:v>USA</x:v>
      </x:c>
      <x:c r="B3" s="33" t="n">
        <x:v>46</x:v>
      </x:c>
      <x:c r="C3" s="33" t="n">
        <x:v>25</x:v>
      </x:c>
      <x:c r="D3" s="33" t="n">
        <x:v>3.1</x:v>
      </x:c>
      <x:c r="E3" s="30" t="str">
        <x:v>UNSCEAR 2000 Table 24</x:v>
      </x:c>
      <x:c r="F3" s="30" t="str">
        <x:v>https://www.unscear.org/docs/publications/2000/UNSCEAR_2000_Annex-B.pdf</x:v>
      </x:c>
      <x:c r="G3" s="33" t="n">
        <x:v>46</x:v>
      </x:c>
      <x:c r="H3" s="33" t="n">
        <x:v>25</x:v>
      </x:c>
      <x:c r="I3" s="33" t="n">
        <x:v>3.1</x:v>
      </x:c>
      <x:c r="J3" s="30" t="str">
        <x:v>UNSCEAR 2024 Table 2</x:v>
      </x:c>
      <x:c r="K3" s="30" t="str">
        <x:v>https://www.unscear.org/unscear/uploads/documents/unscear-reports/UNSCEAR_2024_Report_Vol.II.pdf</x:v>
      </x:c>
      <x:c r="L3" s="30" t="str"/>
      <x:c r="M3" s="33" t="n">
        <x:f>D3</x:f>
        <x:v>3.1</x:v>
      </x:c>
    </x:row>
    <x:row r="4" ht="21.600000381469727" hidden="0" customHeight="1">
      <x:c r="A4" s="30" t="str">
        <x:v>Sweden</x:v>
      </x:c>
      <x:c r="B4" s="33" t="n">
        <x:v>108</x:v>
      </x:c>
      <x:c r="C4" s="33" t="n">
        <x:v>56</x:v>
      </x:c>
      <x:c r="D4" s="33" t="n">
        <x:v>3.1459189700020884</x:v>
      </x:c>
      <x:c r="E4" s="30" t="str">
        <x:v>UNSCEAR 2000 Table 24; GSD derived from AM and GM under Lognormality</x:v>
      </x:c>
      <x:c r="F4" s="30" t="str">
        <x:v>https://www.unscear.org/docs/publications/2000/UNSCEAR_2000_Annex-B.pdf</x:v>
      </x:c>
      <x:c r="G4" s="33" t="n">
        <x:v>90</x:v>
      </x:c>
      <x:c r="H4" s="33" t="n">
        <x:v>63</x:v>
      </x:c>
      <x:c r="I4" s="33" t="n">
        <x:v>2.3</x:v>
      </x:c>
      <x:c r="J4" s="30" t="str">
        <x:v>UNSCEAR 2024 Table 2</x:v>
      </x:c>
      <x:c r="K4" s="30" t="str">
        <x:v>https://www.unscear.org/unscear/uploads/documents/unscear-reports/UNSCEAR_2024_Report_Vol.II.pdf</x:v>
      </x:c>
      <x:c r="L4" s="30" t="str">
        <x:v>Primary GSD = exp(sqrt(2 log(108/56))) = 3.1459189700.</x:v>
      </x:c>
      <x:c r="M4" s="33" t="n">
        <x:f>EXP(SQRT(2*LN(B4/C4)))</x:f>
        <x:v>3.1459189700020884</x:v>
      </x:c>
    </x:row>
    <x:row r="5" ht="21.600000381469727" hidden="0" customHeight="1">
      <x:c r="A5" s="30" t="str">
        <x:v>Finland</x:v>
      </x:c>
      <x:c r="B5" s="33" t="n">
        <x:v>120</x:v>
      </x:c>
      <x:c r="C5" s="33" t="n">
        <x:v>84</x:v>
      </x:c>
      <x:c r="D5" s="33" t="n">
        <x:v>2.1</x:v>
      </x:c>
      <x:c r="E5" s="30" t="str">
        <x:v>WHO 2009 Table 4 / UNSCEAR 2000</x:v>
      </x:c>
      <x:c r="F5" s="30" t="str">
        <x:v>https://www.who.int/publications/i/item/9789241547673</x:v>
      </x:c>
      <x:c r="G5" s="33" t="n">
        <x:v>96</x:v>
      </x:c>
      <x:c r="H5" s="33" t="n">
        <x:v>62</x:v>
      </x:c>
      <x:c r="I5" s="33" t="n">
        <x:v>2.5</x:v>
      </x:c>
      <x:c r="J5" s="30" t="str">
        <x:v>UNSCEAR 2024 Table 2</x:v>
      </x:c>
      <x:c r="K5" s="30" t="str">
        <x:v>https://www.unscear.org/unscear/uploads/documents/unscear-reports/UNSCEAR_2024_Report_Vol.II.pdf</x:v>
      </x:c>
      <x:c r="L5" s="30" t="str"/>
      <x:c r="M5" s="33" t="n">
        <x:f>D5</x:f>
        <x:v>2.1</x:v>
      </x:c>
    </x:row>
    <x:row r="6" ht="21.600000381469727" hidden="0" customHeight="1">
      <x:c r="A6" s="30" t="str">
        <x:v>UK</x:v>
      </x:c>
      <x:c r="B6" s="33" t="n">
        <x:v>20</x:v>
      </x:c>
      <x:c r="C6" s="33" t="n">
        <x:v>14</x:v>
      </x:c>
      <x:c r="D6" s="33" t="n">
        <x:v>3.2</x:v>
      </x:c>
      <x:c r="E6" s="30" t="str">
        <x:v>WHO 2009 Table 4</x:v>
      </x:c>
      <x:c r="F6" s="30" t="str">
        <x:v>https://www.who.int/publications/i/item/9789241547673</x:v>
      </x:c>
      <x:c r="G6" s="33" t="n">
        <x:v>22</x:v>
      </x:c>
      <x:c r="H6" s="33" t="n">
        <x:v>15</x:v>
      </x:c>
      <x:c r="I6" s="33" t="n">
        <x:v>2.2</x:v>
      </x:c>
      <x:c r="J6" s="30" t="str">
        <x:v>UNSCEAR 2024 Table 2</x:v>
      </x:c>
      <x:c r="K6" s="30" t="str">
        <x:v>https://www.unscear.org/unscear/uploads/documents/unscear-reports/UNSCEAR_2024_Report_Vol.II.pdf</x:v>
      </x:c>
      <x:c r="L6" s="30" t="str"/>
      <x:c r="M6" s="33" t="n">
        <x:f>D6</x:f>
        <x:v>3.2</x:v>
      </x:c>
    </x:row>
    <x:row r="7" ht="21.600000381469727" hidden="0" customHeight="1">
      <x:c r="A7" s="30" t="str">
        <x:v>Japan</x:v>
      </x:c>
      <x:c r="B7" s="33" t="n">
        <x:v>16</x:v>
      </x:c>
      <x:c r="C7" s="33" t="n">
        <x:v>13</x:v>
      </x:c>
      <x:c r="D7" s="33" t="n">
        <x:v>1.8</x:v>
      </x:c>
      <x:c r="E7" s="30" t="str">
        <x:v>WHO 2009 Table 4 / UNSCEAR 2000</x:v>
      </x:c>
      <x:c r="F7" s="30" t="str">
        <x:v>https://www.who.int/publications/i/item/9789241547673</x:v>
      </x:c>
      <x:c r="G7" s="33" t="n">
        <x:v>14</x:v>
      </x:c>
      <x:c r="H7" s="33" t="n">
        <x:v>11</x:v>
      </x:c>
      <x:c r="I7" s="33" t="n">
        <x:v>2.1</x:v>
      </x:c>
      <x:c r="J7" s="30" t="str">
        <x:v>UNSCEAR 2024 Table 2</x:v>
      </x:c>
      <x:c r="K7" s="30" t="str">
        <x:v>https://www.unscear.org/unscear/uploads/documents/unscear-reports/UNSCEAR_2024_Report_Vol.II.pdf</x:v>
      </x:c>
      <x:c r="L7" s="30" t="str"/>
      <x:c r="M7" s="33" t="n">
        <x:f>D7</x:f>
        <x:v>1.8</x:v>
      </x:c>
    </x:row>
    <x:row r="8" ht="21.600000381469727" hidden="0" customHeight="1">
      <x:c r="A8" s="30" t="str">
        <x:v>Germany</x:v>
      </x:c>
      <x:c r="B8" s="33" t="n">
        <x:v>49</x:v>
      </x:c>
      <x:c r="C8" s="33" t="n">
        <x:v>37</x:v>
      </x:c>
      <x:c r="D8" s="33" t="n">
        <x:v>2</x:v>
      </x:c>
      <x:c r="E8" s="30" t="str">
        <x:v>WHO 2009 Table 4</x:v>
      </x:c>
      <x:c r="F8" s="30" t="str">
        <x:v>https://www.who.int/publications/i/item/9789241547673</x:v>
      </x:c>
      <x:c r="G8" s="33" t="n">
        <x:v>63</x:v>
      </x:c>
      <x:c r="H8" s="33" t="n">
        <x:v>41</x:v>
      </x:c>
      <x:c r="I8" s="33" t="n">
        <x:v>2</x:v>
      </x:c>
      <x:c r="J8" s="30" t="str">
        <x:v>UNSCEAR 2024 Table 2</x:v>
      </x:c>
      <x:c r="K8" s="30" t="str">
        <x:v>https://www.unscear.org/unscear/uploads/documents/unscear-reports/UNSCEAR_2024_Report_Vol.II.pdf</x:v>
      </x:c>
      <x:c r="L8" s="30" t="str"/>
      <x:c r="M8" s="33" t="n">
        <x:f>D8</x:f>
        <x:v>2</x:v>
      </x:c>
    </x:row>
    <x:row r="9" ht="21.600000381469727" hidden="0" customHeight="1">
      <x:c r="A9" s="30" t="str">
        <x:v>Italy</x:v>
      </x:c>
      <x:c r="B9" s="33" t="n">
        <x:v>70</x:v>
      </x:c>
      <x:c r="C9" s="33" t="n">
        <x:v>52</x:v>
      </x:c>
      <x:c r="D9" s="33" t="n">
        <x:v>2.1</x:v>
      </x:c>
      <x:c r="E9" s="30" t="str">
        <x:v>WHO 2009 Table 4</x:v>
      </x:c>
      <x:c r="F9" s="30" t="str">
        <x:v>https://www.who.int/publications/i/item/9789241547673</x:v>
      </x:c>
      <x:c r="G9" s="33" t="n">
        <x:v>72</x:v>
      </x:c>
      <x:c r="H9" s="33" t="n">
        <x:v>50</x:v>
      </x:c>
      <x:c r="I9" s="33" t="n">
        <x:v>2.2</x:v>
      </x:c>
      <x:c r="J9" s="30" t="str">
        <x:v>UNSCEAR 2024 Table 2</x:v>
      </x:c>
      <x:c r="K9" s="30" t="str">
        <x:v>https://www.unscear.org/unscear/uploads/documents/unscear-reports/UNSCEAR_2024_Report_Vol.II.pdf</x:v>
      </x:c>
      <x:c r="L9" s="30" t="str"/>
      <x:c r="M9" s="33" t="n">
        <x:f>D9</x:f>
        <x:v>2.1</x:v>
      </x:c>
    </x:row>
    <x:row r="10" ht="21.600000381469727" hidden="0" customHeight="1">
      <x:c r="A10" s="30" t="str">
        <x:v>Spain</x:v>
      </x:c>
      <x:c r="B10" s="33" t="n">
        <x:v>90</x:v>
      </x:c>
      <x:c r="C10" s="33" t="n">
        <x:v>46</x:v>
      </x:c>
      <x:c r="D10" s="33" t="n">
        <x:v>2.9</x:v>
      </x:c>
      <x:c r="E10" s="30" t="str">
        <x:v>WHO 2009 Table 4</x:v>
      </x:c>
      <x:c r="F10" s="30" t="str">
        <x:v>https://www.who.int/publications/i/item/9789241547673</x:v>
      </x:c>
      <x:c r="G10" s="33" t="n">
        <x:v>53</x:v>
      </x:c>
      <x:c r="H10" s="33" t="n">
        <x:v>25</x:v>
      </x:c>
      <x:c r="I10" s="33" t="n">
        <x:v>3.4</x:v>
      </x:c>
      <x:c r="J10" s="30" t="str">
        <x:v>UNSCEAR 2024 Table 2</x:v>
      </x:c>
      <x:c r="K10" s="30" t="str">
        <x:v>https://www.unscear.org/unscear/uploads/documents/unscear-reports/UNSCEAR_2024_Report_Vol.II.pdf</x:v>
      </x:c>
      <x:c r="L10" s="30" t="str"/>
      <x:c r="M10" s="33" t="n">
        <x:f>D10</x:f>
        <x:v>2.9</x:v>
      </x:c>
    </x:row>
  </x:sheetData>
  <x:pageMargins left="0.7" right="0.7" top="0.75" bottom="0.75" header="0.3" footer="0.3"/>
  <x:tableParts count="1">
    <x:tablePart xmlns:r="http://schemas.openxmlformats.org/officeDocument/2006/relationships" r:id="R73a08bcb5c3745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6" hidden="0" customWidth="1"/>
    <x:col min="4" max="4" width="12" hidden="0" customWidth="1"/>
    <x:col min="5" max="5" width="18" hidden="0" customWidth="1"/>
    <x:col min="6" max="6" width="15.75" hidden="0" customWidth="1"/>
    <x:col min="7" max="7" width="15.880000114440918" hidden="0" customWidth="1"/>
    <x:col min="8" max="8" width="18" hidden="0" customWidth="1"/>
    <x:col min="9" max="9" width="14.130000114440918" hidden="0" customWidth="1"/>
    <x:col min="10" max="10" width="14.380000114440918" hidden="0" customWidth="1"/>
    <x:col min="11" max="11" width="11.130000114440918" hidden="0" customWidth="1"/>
    <x:col min="12" max="12" width="8.75" hidden="0" customWidth="1"/>
    <x:col min="13" max="13" width="9" hidden="0" customWidth="1"/>
    <x:col min="14" max="14" width="11.130000114440918" hidden="0" customWidth="1"/>
    <x:col min="15" max="15" width="11.5" hidden="0" customWidth="1"/>
    <x:col min="16" max="16" width="7.25" hidden="0" customWidth="1"/>
    <x:col min="17" max="17" width="9.5" hidden="0" customWidth="1"/>
    <x:col min="18" max="18" width="24.25" hidden="0" customWidth="1"/>
    <x:col min="19" max="19" width="22.6299991607666" hidden="0" customWidth="1"/>
    <x:col min="20" max="20" width="16.8799991607666" hidden="0" customWidth="1"/>
    <x:col min="21" max="21" width="21.6299991607666" hidden="0" customWidth="1"/>
    <x:col min="22" max="22" width="16.5" hidden="0" customWidth="1"/>
    <x:col min="23" max="23" width="14.130000114440918" hidden="0" customWidth="1"/>
    <x:col min="24" max="24" width="48" hidden="0" customWidth="1"/>
    <x:col min="25" max="25" width="32" hidden="0" customWidth="1"/>
  </x:cols>
  <x:sheetData>
    <x:row r="1" ht="15" hidden="0" customHeight="1">
      <x:c r="A1" s="23" t="str">
        <x:v>study_id</x:v>
      </x:c>
      <x:c r="B1" s="23" t="str">
        <x:v>study</x:v>
      </x:c>
      <x:c r="C1" s="23" t="str">
        <x:v>year</x:v>
      </x:c>
      <x:c r="D1" s="23" t="str">
        <x:v>country</x:v>
      </x:c>
      <x:c r="E1" s="23" t="str">
        <x:v>comparison_level</x:v>
      </x:c>
      <x:c r="F1" s="23" t="str">
        <x:v>comparison_lower</x:v>
      </x:c>
      <x:c r="G1" s="23" t="str">
        <x:v>comparison_upper</x:v>
      </x:c>
      <x:c r="H1" s="23" t="str">
        <x:v>reference_level</x:v>
      </x:c>
      <x:c r="I1" s="23" t="str">
        <x:v>reference_lower</x:v>
      </x:c>
      <x:c r="J1" s="23" t="str">
        <x:v>reference_upper</x:v>
      </x:c>
      <x:c r="K1" s="23" t="str">
        <x:v>adjusted_or</x:v>
      </x:c>
      <x:c r="L1" s="23" t="str">
        <x:v>ci_lower</x:v>
      </x:c>
      <x:c r="M1" s="23" t="str">
        <x:v>ci_upper</x:v>
      </x:c>
      <x:c r="N1" s="23" t="str">
        <x:v>primary_gm</x:v>
      </x:c>
      <x:c r="O1" s="23" t="str">
        <x:v>primary_gsd</x:v>
      </x:c>
      <x:c r="P1" s="23" t="str">
        <x:v>log_or</x:v>
      </x:c>
      <x:c r="Q1" s="23" t="str">
        <x:v>se_log_or</x:v>
      </x:c>
      <x:c r="R1" s="23" t="str">
        <x:v>comparison_conditional_mean</x:v>
      </x:c>
      <x:c r="S1" s="23" t="str">
        <x:v>reference_conditional_mean</x:v>
      </x:c>
      <x:c r="T1" s="23" t="str">
        <x:v>x_conditional_mean</x:v>
      </x:c>
      <x:c r="U1" s="23" t="str">
        <x:v>comparison_midpoint_1.2L</x:v>
      </x:c>
      <x:c r="V1" s="23" t="str">
        <x:v>reference_midpoint</x:v>
      </x:c>
      <x:c r="W1" s="23" t="str">
        <x:v>x_midpoint_1.2L</x:v>
      </x:c>
      <x:c r="X1" s="23" t="str">
        <x:v>source_url</x:v>
      </x:c>
      <x:c r="Y1" s="23" t="str">
        <x:v>note</x:v>
      </x:c>
    </x:row>
    <x:row r="2" ht="15" hidden="0" customHeight="1">
      <x:c r="A2" s="30" t="str">
        <x:v>Blot1990</x:v>
      </x:c>
      <x:c r="B2" s="30" t="str">
        <x:v>Blot et al.</x:v>
      </x:c>
      <x:c r="C2" s="30" t="n">
        <x:v>1990</x:v>
      </x:c>
      <x:c r="D2" s="30" t="str">
        <x:v>China</x:v>
      </x:c>
      <x:c r="E2" s="30" t="str">
        <x:v>74-147</x:v>
      </x:c>
      <x:c r="F2" s="34" t="n">
        <x:v>73.5</x:v>
      </x:c>
      <x:c r="G2" s="34" t="n">
        <x:v>147.5</x:v>
      </x:c>
      <x:c r="H2" s="34" t="str">
        <x:v>&lt;74</x:v>
      </x:c>
      <x:c r="I2" s="34" t="n">
        <x:v>0</x:v>
      </x:c>
      <x:c r="J2" s="34" t="n">
        <x:v>73.5</x:v>
      </x:c>
      <x:c r="K2" s="34" t="n">
        <x:v>0.9</x:v>
      </x:c>
      <x:c r="L2" s="34" t="n">
        <x:v>0.6</x:v>
      </x:c>
      <x:c r="M2" s="34" t="n">
        <x:v>1.3</x:v>
      </x:c>
      <x:c r="N2" s="34" t="n">
        <x:f>XLOOKUP(D2,'Country Distributions'!$A$2:$A$10,'Country Distributions'!$C$2:$C$10)</x:f>
        <x:v>20</x:v>
      </x:c>
      <x:c r="O2" s="34" t="n">
        <x:f>XLOOKUP(D2,'Country Distributions'!$A$2:$A$10,'Country Distributions'!$D$2:$D$10)</x:f>
        <x:v>2.2</x:v>
      </x:c>
      <x:c r="P2" s="34" t="n">
        <x:f>LN(K2)</x:f>
        <x:v>-0.10536051565782628</x:v>
      </x:c>
      <x:c r="Q2" s="34" t="n">
        <x:f>(LN(M2)-LN(L2))/3.92</x:f>
        <x:v>0.19724231842690862</x:v>
      </x:c>
      <x:c r="R2" s="34" t="n">
        <x:f>$N2*EXP(LN($O2)^2/2)*(IF(G2="",1,NORM.S.DIST((LN(G2)-LN($N2)-LN($O2)^2)/LN($O2),TRUE))-IF(F2=0,0,NORM.S.DIST((LN(F2)-LN($N2)-LN($O2)^2)/LN($O2),TRUE)))/(IF(G2="",1,NORM.S.DIST((LN(G2)-LN($N2))/LN($O2),TRUE))-IF(F2=0,0,NORM.S.DIST((LN(F2)-LN($N2))/LN($O2),TRUE)))</x:f>
        <x:v>95.94151986177117</x:v>
      </x:c>
      <x:c r="S2" s="34" t="n">
        <x:f>$N2*EXP(LN($O2)^2/2)*(IF(J2="",1,NORM.S.DIST((LN(J2)-LN($N2)-LN($O2)^2)/LN($O2),TRUE))-IF(I2=0,0,NORM.S.DIST((LN(I2)-LN($N2)-LN($O2)^2)/LN($O2),TRUE)))/(IF(J2="",1,NORM.S.DIST((LN(J2)-LN($N2))/LN($O2),TRUE))-IF(I2=0,0,NORM.S.DIST((LN(I2)-LN($N2))/LN($O2),TRUE)))</x:f>
        <x:v>23.132190056042877</x:v>
      </x:c>
      <x:c r="T2" s="34" t="n">
        <x:f>R2-S2</x:f>
        <x:v>72.8093298057283</x:v>
      </x:c>
      <x:c r="U2" s="34" t="n">
        <x:f>IF(G2="",1.2*F2,(F2+G2)/2)</x:f>
        <x:v>110.5</x:v>
      </x:c>
      <x:c r="V2" s="34" t="n">
        <x:f>IF(J2="",1.2*I2,(I2+J2)/2)</x:f>
        <x:v>36.75</x:v>
      </x:c>
      <x:c r="W2" s="34" t="n">
        <x:f>U2-V2</x:f>
        <x:v>73.75</x:v>
      </x:c>
      <x:c r="X2" s="30" t="str">
        <x:v>https://www.scielosp.org/pdf/bwho/2003.v81n10/732-738/en</x:v>
      </x:c>
      <x:c r="Y2" s="30" t="str"/>
    </x:row>
    <x:row r="3" ht="15" hidden="0" customHeight="1">
      <x:c r="A3" s="30" t="str">
        <x:v>Blot1990</x:v>
      </x:c>
      <x:c r="B3" s="30" t="str">
        <x:v>Blot et al.</x:v>
      </x:c>
      <x:c r="C3" s="30" t="n">
        <x:v>1990</x:v>
      </x:c>
      <x:c r="D3" s="30" t="str">
        <x:v>China</x:v>
      </x:c>
      <x:c r="E3" s="30" t="str">
        <x:v>148-295</x:v>
      </x:c>
      <x:c r="F3" s="34" t="n">
        <x:v>147.5</x:v>
      </x:c>
      <x:c r="G3" s="34" t="n">
        <x:v>295.5</x:v>
      </x:c>
      <x:c r="H3" s="34" t="str">
        <x:v>&lt;74</x:v>
      </x:c>
      <x:c r="I3" s="34" t="n">
        <x:v>0</x:v>
      </x:c>
      <x:c r="J3" s="34" t="n">
        <x:v>73.5</x:v>
      </x:c>
      <x:c r="K3" s="34" t="n">
        <x:v>0.9</x:v>
      </x:c>
      <x:c r="L3" s="34" t="n">
        <x:v>0.5</x:v>
      </x:c>
      <x:c r="M3" s="34" t="n">
        <x:v>1.4</x:v>
      </x:c>
      <x:c r="N3" s="34" t="n">
        <x:f>XLOOKUP(D3,'Country Distributions'!$A$2:$A$10,'Country Distributions'!$C$2:$C$10)</x:f>
        <x:v>20</x:v>
      </x:c>
      <x:c r="O3" s="34" t="n">
        <x:f>XLOOKUP(D3,'Country Distributions'!$A$2:$A$10,'Country Distributions'!$D$2:$D$10)</x:f>
        <x:v>2.2</x:v>
      </x:c>
      <x:c r="P3" s="34" t="n">
        <x:f>LN(K3)</x:f>
        <x:v>-0.10536051565782628</x:v>
      </x:c>
      <x:c r="Q3" s="34" t="n">
        <x:f>(LN(M3)-LN(L3))/3.92</x:f>
        <x:v>0.26265801458703014</x:v>
      </x:c>
      <x:c r="R3" s="34" t="n">
        <x:f>$N3*EXP(LN($O3)^2/2)*(IF(G3="",1,NORM.S.DIST((LN(G3)-LN($N3)-LN($O3)^2)/LN($O3),TRUE))-IF(F3=0,0,NORM.S.DIST((LN(F3)-LN($N3)-LN($O3)^2)/LN($O3),TRUE)))/(IF(G3="",1,NORM.S.DIST((LN(G3)-LN($N3))/LN($O3),TRUE))-IF(F3=0,0,NORM.S.DIST((LN(F3)-LN($N3))/LN($O3),TRUE)))</x:f>
        <x:v>185.40488927258437</x:v>
      </x:c>
      <x:c r="S3" s="34" t="n">
        <x:f>$N3*EXP(LN($O3)^2/2)*(IF(J3="",1,NORM.S.DIST((LN(J3)-LN($N3)-LN($O3)^2)/LN($O3),TRUE))-IF(I3=0,0,NORM.S.DIST((LN(I3)-LN($N3)-LN($O3)^2)/LN($O3),TRUE)))/(IF(J3="",1,NORM.S.DIST((LN(J3)-LN($N3))/LN($O3),TRUE))-IF(I3=0,0,NORM.S.DIST((LN(I3)-LN($N3))/LN($O3),TRUE)))</x:f>
        <x:v>23.132190056042877</x:v>
      </x:c>
      <x:c r="T3" s="34" t="n">
        <x:f>R3-S3</x:f>
        <x:v>162.2726992165415</x:v>
      </x:c>
      <x:c r="U3" s="34" t="n">
        <x:f>IF(G3="",1.2*F3,(F3+G3)/2)</x:f>
        <x:v>221.5</x:v>
      </x:c>
      <x:c r="V3" s="34" t="n">
        <x:f>IF(J3="",1.2*I3,(I3+J3)/2)</x:f>
        <x:v>36.75</x:v>
      </x:c>
      <x:c r="W3" s="34" t="n">
        <x:f>U3-V3</x:f>
        <x:v>184.75</x:v>
      </x:c>
      <x:c r="X3" s="30" t="str">
        <x:v>https://www.scielosp.org/pdf/bwho/2003.v81n10/732-738/en</x:v>
      </x:c>
      <x:c r="Y3" s="30" t="str"/>
    </x:row>
    <x:row r="4" ht="15" hidden="0" customHeight="1">
      <x:c r="A4" s="30" t="str">
        <x:v>Blot1990</x:v>
      </x:c>
      <x:c r="B4" s="30" t="str">
        <x:v>Blot et al.</x:v>
      </x:c>
      <x:c r="C4" s="30" t="n">
        <x:v>1990</x:v>
      </x:c>
      <x:c r="D4" s="30" t="str">
        <x:v>China</x:v>
      </x:c>
      <x:c r="E4" s="30" t="str">
        <x:v>&gt;=296</x:v>
      </x:c>
      <x:c r="F4" s="34" t="n">
        <x:v>295.5</x:v>
      </x:c>
      <x:c r="G4" s="34"/>
      <x:c r="H4" s="34" t="str">
        <x:v>&lt;74</x:v>
      </x:c>
      <x:c r="I4" s="34" t="n">
        <x:v>0</x:v>
      </x:c>
      <x:c r="J4" s="34" t="n">
        <x:v>73.5</x:v>
      </x:c>
      <x:c r="K4" s="34" t="n">
        <x:v>0.7</x:v>
      </x:c>
      <x:c r="L4" s="34" t="n">
        <x:v>0.4</x:v>
      </x:c>
      <x:c r="M4" s="34" t="n">
        <x:v>1.3</x:v>
      </x:c>
      <x:c r="N4" s="34" t="n">
        <x:f>XLOOKUP(D4,'Country Distributions'!$A$2:$A$10,'Country Distributions'!$C$2:$C$10)</x:f>
        <x:v>20</x:v>
      </x:c>
      <x:c r="O4" s="34" t="n">
        <x:f>XLOOKUP(D4,'Country Distributions'!$A$2:$A$10,'Country Distributions'!$D$2:$D$10)</x:f>
        <x:v>2.2</x:v>
      </x:c>
      <x:c r="P4" s="34" t="n">
        <x:f>LN(K4)</x:f>
        <x:v>-0.35667494393873245</x:v>
      </x:c>
      <x:c r="Q4" s="34" t="n">
        <x:f>(LN(M4)-LN(L4))/3.92</x:f>
        <x:v>0.30067729498511375</x:v>
      </x:c>
      <x:c r="R4" s="34" t="n">
        <x:f>$N4*EXP(LN($O4)^2/2)*(IF(G4="",1,NORM.S.DIST((LN(G4)-LN($N4)-LN($O4)^2)/LN($O4),TRUE))-IF(F4=0,0,NORM.S.DIST((LN(F4)-LN($N4)-LN($O4)^2)/LN($O4),TRUE)))/(IF(G4="",1,NORM.S.DIST((LN(G4)-LN($N4))/LN($O4),TRUE))-IF(F4=0,0,NORM.S.DIST((LN(F4)-LN($N4))/LN($O4),TRUE)))</x:f>
        <x:v>369.20119405120306</x:v>
      </x:c>
      <x:c r="S4" s="34" t="n">
        <x:f>$N4*EXP(LN($O4)^2/2)*(IF(J4="",1,NORM.S.DIST((LN(J4)-LN($N4)-LN($O4)^2)/LN($O4),TRUE))-IF(I4=0,0,NORM.S.DIST((LN(I4)-LN($N4)-LN($O4)^2)/LN($O4),TRUE)))/(IF(J4="",1,NORM.S.DIST((LN(J4)-LN($N4))/LN($O4),TRUE))-IF(I4=0,0,NORM.S.DIST((LN(I4)-LN($N4))/LN($O4),TRUE)))</x:f>
        <x:v>23.132190056042877</x:v>
      </x:c>
      <x:c r="T4" s="34" t="n">
        <x:f>R4-S4</x:f>
        <x:v>346.0690039951602</x:v>
      </x:c>
      <x:c r="U4" s="34" t="n">
        <x:f>IF(G4="",1.2*F4,(F4+G4)/2)</x:f>
        <x:v>354.59999999999997</x:v>
      </x:c>
      <x:c r="V4" s="34" t="n">
        <x:f>IF(J4="",1.2*I4,(I4+J4)/2)</x:f>
        <x:v>36.75</x:v>
      </x:c>
      <x:c r="W4" s="34" t="n">
        <x:f>U4-V4</x:f>
        <x:v>317.84999999999997</x:v>
      </x:c>
      <x:c r="X4" s="30" t="str">
        <x:v>https://www.scielosp.org/pdf/bwho/2003.v81n10/732-738/en</x:v>
      </x:c>
      <x:c r="Y4" s="30" t="str">
        <x:v>Right-unbounded comparison support</x:v>
      </x:c>
    </x:row>
    <x:row r="5" ht="15" hidden="0" customHeight="1">
      <x:c r="A5" s="30" t="str">
        <x:v>Schoenberg1990</x:v>
      </x:c>
      <x:c r="B5" s="30" t="str">
        <x:v>Schoenberg et al.</x:v>
      </x:c>
      <x:c r="C5" s="30" t="n">
        <x:v>1990</x:v>
      </x:c>
      <x:c r="D5" s="30" t="str">
        <x:v>USA</x:v>
      </x:c>
      <x:c r="E5" s="30" t="str">
        <x:v>37-73</x:v>
      </x:c>
      <x:c r="F5" s="34" t="n">
        <x:v>36.5</x:v>
      </x:c>
      <x:c r="G5" s="34" t="n">
        <x:v>73.5</x:v>
      </x:c>
      <x:c r="H5" s="34" t="str">
        <x:v>&lt;37</x:v>
      </x:c>
      <x:c r="I5" s="34" t="n">
        <x:v>0</x:v>
      </x:c>
      <x:c r="J5" s="34" t="n">
        <x:v>36.5</x:v>
      </x:c>
      <x:c r="K5" s="34" t="n">
        <x:v>1.2</x:v>
      </x:c>
      <x:c r="L5" s="34" t="n">
        <x:v>0.83</x:v>
      </x:c>
      <x:c r="M5" s="34" t="n">
        <x:v>1.7</x:v>
      </x:c>
      <x:c r="N5" s="34" t="n">
        <x:f>XLOOKUP(D5,'Country Distributions'!$A$2:$A$10,'Country Distributions'!$C$2:$C$10)</x:f>
        <x:v>25</x:v>
      </x:c>
      <x:c r="O5" s="34" t="n">
        <x:f>XLOOKUP(D5,'Country Distributions'!$A$2:$A$10,'Country Distributions'!$D$2:$D$10)</x:f>
        <x:v>3.1</x:v>
      </x:c>
      <x:c r="P5" s="34" t="n">
        <x:f>LN(K5)</x:f>
        <x:v>0.1823215567939546</x:v>
      </x:c>
      <x:c r="Q5" s="34" t="n">
        <x:f>(LN(M5)-LN(L5))/3.92</x:f>
        <x:v>0.182897405421853</x:v>
      </x:c>
      <x:c r="R5" s="34" t="n">
        <x:f>$N5*EXP(LN($O5)^2/2)*(IF(G5="",1,NORM.S.DIST((LN(G5)-LN($N5)-LN($O5)^2)/LN($O5),TRUE))-IF(F5=0,0,NORM.S.DIST((LN(F5)-LN($N5)-LN($O5)^2)/LN($O5),TRUE)))/(IF(G5="",1,NORM.S.DIST((LN(G5)-LN($N5))/LN($O5),TRUE))-IF(F5=0,0,NORM.S.DIST((LN(F5)-LN($N5))/LN($O5),TRUE)))</x:f>
        <x:v>51.65159061648795</x:v>
      </x:c>
      <x:c r="S5" s="34" t="n">
        <x:f>$N5*EXP(LN($O5)^2/2)*(IF(J5="",1,NORM.S.DIST((LN(J5)-LN($N5)-LN($O5)^2)/LN($O5),TRUE))-IF(I5=0,0,NORM.S.DIST((LN(I5)-LN($N5)-LN($O5)^2)/LN($O5),TRUE)))/(IF(J5="",1,NORM.S.DIST((LN(J5)-LN($N5))/LN($O5),TRUE))-IF(I5=0,0,NORM.S.DIST((LN(I5)-LN($N5))/LN($O5),TRUE)))</x:f>
        <x:v>15.986290798895357</x:v>
      </x:c>
      <x:c r="T5" s="34" t="n">
        <x:f>R5-S5</x:f>
        <x:v>35.6652998175926</x:v>
      </x:c>
      <x:c r="U5" s="34" t="n">
        <x:f>IF(G5="",1.2*F5,(F5+G5)/2)</x:f>
        <x:v>55</x:v>
      </x:c>
      <x:c r="V5" s="34" t="n">
        <x:f>IF(J5="",1.2*I5,(I5+J5)/2)</x:f>
        <x:v>18.25</x:v>
      </x:c>
      <x:c r="W5" s="34" t="n">
        <x:f>U5-V5</x:f>
        <x:v>36.75</x:v>
      </x:c>
      <x:c r="X5" s="30" t="str">
        <x:v>https://www.scielosp.org/pdf/bwho/2003.v81n10/732-738/en</x:v>
      </x:c>
      <x:c r="Y5" s="30" t="str"/>
    </x:row>
    <x:row r="6" ht="15" hidden="0" customHeight="1">
      <x:c r="A6" s="30" t="str">
        <x:v>Schoenberg1990</x:v>
      </x:c>
      <x:c r="B6" s="30" t="str">
        <x:v>Schoenberg et al.</x:v>
      </x:c>
      <x:c r="C6" s="30" t="n">
        <x:v>1990</x:v>
      </x:c>
      <x:c r="D6" s="30" t="str">
        <x:v>USA</x:v>
      </x:c>
      <x:c r="E6" s="30" t="str">
        <x:v>74-147</x:v>
      </x:c>
      <x:c r="F6" s="34" t="n">
        <x:v>73.5</x:v>
      </x:c>
      <x:c r="G6" s="34" t="n">
        <x:v>147.5</x:v>
      </x:c>
      <x:c r="H6" s="34" t="str">
        <x:v>&lt;37</x:v>
      </x:c>
      <x:c r="I6" s="34" t="n">
        <x:v>0</x:v>
      </x:c>
      <x:c r="J6" s="34" t="n">
        <x:v>36.5</x:v>
      </x:c>
      <x:c r="K6" s="34" t="n">
        <x:v>1.1</x:v>
      </x:c>
      <x:c r="L6" s="34" t="n">
        <x:v>0.55</x:v>
      </x:c>
      <x:c r="M6" s="34" t="n">
        <x:v>2.3</x:v>
      </x:c>
      <x:c r="N6" s="34" t="n">
        <x:f>XLOOKUP(D6,'Country Distributions'!$A$2:$A$10,'Country Distributions'!$C$2:$C$10)</x:f>
        <x:v>25</x:v>
      </x:c>
      <x:c r="O6" s="34" t="n">
        <x:f>XLOOKUP(D6,'Country Distributions'!$A$2:$A$10,'Country Distributions'!$D$2:$D$10)</x:f>
        <x:v>3.1</x:v>
      </x:c>
      <x:c r="P6" s="34" t="n">
        <x:f>LN(K6)</x:f>
        <x:v>0.09531017980432493</x:v>
      </x:c>
      <x:c r="Q6" s="34" t="n">
        <x:f>(LN(M6)-LN(L6))/3.92</x:f>
        <x:v>0.36498625604355217</x:v>
      </x:c>
      <x:c r="R6" s="34" t="n">
        <x:f>$N6*EXP(LN($O6)^2/2)*(IF(G6="",1,NORM.S.DIST((LN(G6)-LN($N6)-LN($O6)^2)/LN($O6),TRUE))-IF(F6=0,0,NORM.S.DIST((LN(F6)-LN($N6)-LN($O6)^2)/LN($O6),TRUE)))/(IF(G6="",1,NORM.S.DIST((LN(G6)-LN($N6))/LN($O6),TRUE))-IF(F6=0,0,NORM.S.DIST((LN(F6)-LN($N6))/LN($O6),TRUE)))</x:f>
        <x:v>101.61016587467553</x:v>
      </x:c>
      <x:c r="S6" s="34" t="n">
        <x:f>$N6*EXP(LN($O6)^2/2)*(IF(J6="",1,NORM.S.DIST((LN(J6)-LN($N6)-LN($O6)^2)/LN($O6),TRUE))-IF(I6=0,0,NORM.S.DIST((LN(I6)-LN($N6)-LN($O6)^2)/LN($O6),TRUE)))/(IF(J6="",1,NORM.S.DIST((LN(J6)-LN($N6))/LN($O6),TRUE))-IF(I6=0,0,NORM.S.DIST((LN(I6)-LN($N6))/LN($O6),TRUE)))</x:f>
        <x:v>15.986290798895357</x:v>
      </x:c>
      <x:c r="T6" s="34" t="n">
        <x:f>R6-S6</x:f>
        <x:v>85.62387507578018</x:v>
      </x:c>
      <x:c r="U6" s="34" t="n">
        <x:f>IF(G6="",1.2*F6,(F6+G6)/2)</x:f>
        <x:v>110.5</x:v>
      </x:c>
      <x:c r="V6" s="34" t="n">
        <x:f>IF(J6="",1.2*I6,(I6+J6)/2)</x:f>
        <x:v>18.25</x:v>
      </x:c>
      <x:c r="W6" s="34" t="n">
        <x:f>U6-V6</x:f>
        <x:v>92.25</x:v>
      </x:c>
      <x:c r="X6" s="30" t="str">
        <x:v>https://www.scielosp.org/pdf/bwho/2003.v81n10/732-738/en</x:v>
      </x:c>
      <x:c r="Y6" s="30" t="str"/>
    </x:row>
    <x:row r="7" ht="15" hidden="0" customHeight="1">
      <x:c r="A7" s="30" t="str">
        <x:v>Schoenberg1990</x:v>
      </x:c>
      <x:c r="B7" s="30" t="str">
        <x:v>Schoenberg et al.</x:v>
      </x:c>
      <x:c r="C7" s="30" t="n">
        <x:v>1990</x:v>
      </x:c>
      <x:c r="D7" s="30" t="str">
        <x:v>USA</x:v>
      </x:c>
      <x:c r="E7" s="30" t="str">
        <x:v>148-418</x:v>
      </x:c>
      <x:c r="F7" s="34" t="n">
        <x:v>147.5</x:v>
      </x:c>
      <x:c r="G7" s="34" t="n">
        <x:v>418.5</x:v>
      </x:c>
      <x:c r="H7" s="34" t="str">
        <x:v>&lt;37</x:v>
      </x:c>
      <x:c r="I7" s="34" t="n">
        <x:v>0</x:v>
      </x:c>
      <x:c r="J7" s="34" t="n">
        <x:v>36.5</x:v>
      </x:c>
      <x:c r="K7" s="34" t="n">
        <x:v>8.7</x:v>
      </x:c>
      <x:c r="L7" s="34" t="n">
        <x:v>1.3</x:v>
      </x:c>
      <x:c r="M7" s="34" t="n">
        <x:v>57.8</x:v>
      </x:c>
      <x:c r="N7" s="34" t="n">
        <x:f>XLOOKUP(D7,'Country Distributions'!$A$2:$A$10,'Country Distributions'!$C$2:$C$10)</x:f>
        <x:v>25</x:v>
      </x:c>
      <x:c r="O7" s="34" t="n">
        <x:f>XLOOKUP(D7,'Country Distributions'!$A$2:$A$10,'Country Distributions'!$D$2:$D$10)</x:f>
        <x:v>3.1</x:v>
      </x:c>
      <x:c r="P7" s="34" t="n">
        <x:f>LN(K7)</x:f>
        <x:v>2.163323025660538</x:v>
      </x:c>
      <x:c r="Q7" s="34" t="n">
        <x:f>(LN(M7)-LN(L7))/3.92</x:f>
        <x:v>0.9680164569415409</x:v>
      </x:c>
      <x:c r="R7" s="34" t="n">
        <x:f>$N7*EXP(LN($O7)^2/2)*(IF(G7="",1,NORM.S.DIST((LN(G7)-LN($N7)-LN($O7)^2)/LN($O7),TRUE))-IF(F7=0,0,NORM.S.DIST((LN(F7)-LN($N7)-LN($O7)^2)/LN($O7),TRUE)))/(IF(G7="",1,NORM.S.DIST((LN(G7)-LN($N7))/LN($O7),TRUE))-IF(F7=0,0,NORM.S.DIST((LN(F7)-LN($N7))/LN($O7),TRUE)))</x:f>
        <x:v>222.48233678846316</x:v>
      </x:c>
      <x:c r="S7" s="34" t="n">
        <x:f>$N7*EXP(LN($O7)^2/2)*(IF(J7="",1,NORM.S.DIST((LN(J7)-LN($N7)-LN($O7)^2)/LN($O7),TRUE))-IF(I7=0,0,NORM.S.DIST((LN(I7)-LN($N7)-LN($O7)^2)/LN($O7),TRUE)))/(IF(J7="",1,NORM.S.DIST((LN(J7)-LN($N7))/LN($O7),TRUE))-IF(I7=0,0,NORM.S.DIST((LN(I7)-LN($N7))/LN($O7),TRUE)))</x:f>
        <x:v>15.986290798895357</x:v>
      </x:c>
      <x:c r="T7" s="34" t="n">
        <x:f>R7-S7</x:f>
        <x:v>206.4960459895678</x:v>
      </x:c>
      <x:c r="U7" s="34" t="n">
        <x:f>IF(G7="",1.2*F7,(F7+G7)/2)</x:f>
        <x:v>283</x:v>
      </x:c>
      <x:c r="V7" s="34" t="n">
        <x:f>IF(J7="",1.2*I7,(I7+J7)/2)</x:f>
        <x:v>18.25</x:v>
      </x:c>
      <x:c r="W7" s="34" t="n">
        <x:f>U7-V7</x:f>
        <x:v>264.75</x:v>
      </x:c>
      <x:c r="X7" s="30" t="str">
        <x:v>https://www.scielosp.org/pdf/bwho/2003.v81n10/732-738/en</x:v>
      </x:c>
      <x:c r="Y7" s="30" t="str"/>
    </x:row>
    <x:row r="8" ht="15" hidden="0" customHeight="1">
      <x:c r="A8" s="30" t="str">
        <x:v>Pershagen1992</x:v>
      </x:c>
      <x:c r="B8" s="30" t="str">
        <x:v>Pershagen et al.</x:v>
      </x:c>
      <x:c r="C8" s="30" t="n">
        <x:v>1992</x:v>
      </x:c>
      <x:c r="D8" s="30" t="str">
        <x:v>Sweden</x:v>
      </x:c>
      <x:c r="E8" s="30" t="str">
        <x:v>75-110</x:v>
      </x:c>
      <x:c r="F8" s="34" t="n">
        <x:v>74.5</x:v>
      </x:c>
      <x:c r="G8" s="34" t="n">
        <x:v>110.5</x:v>
      </x:c>
      <x:c r="H8" s="34" t="str">
        <x:v>&lt;75</x:v>
      </x:c>
      <x:c r="I8" s="34" t="n">
        <x:v>0</x:v>
      </x:c>
      <x:c r="J8" s="34" t="n">
        <x:v>74.5</x:v>
      </x:c>
      <x:c r="K8" s="34" t="n">
        <x:v>1.2</x:v>
      </x:c>
      <x:c r="L8" s="34" t="n">
        <x:v>0.7</x:v>
      </x:c>
      <x:c r="M8" s="34" t="n">
        <x:v>2.1</x:v>
      </x:c>
      <x:c r="N8" s="34" t="n">
        <x:f>XLOOKUP(D8,'Country Distributions'!$A$2:$A$10,'Country Distributions'!$C$2:$C$10)</x:f>
        <x:v>56</x:v>
      </x:c>
      <x:c r="O8" s="34" t="n">
        <x:f>XLOOKUP(D8,'Country Distributions'!$A$2:$A$10,'Country Distributions'!$D$2:$D$10)</x:f>
        <x:v>3.1459189700020884</x:v>
      </x:c>
      <x:c r="P8" s="34" t="n">
        <x:f>LN(K8)</x:f>
        <x:v>0.1823215567939546</x:v>
      </x:c>
      <x:c r="Q8" s="34" t="n">
        <x:f>(LN(M8)-LN(L8))/3.92</x:f>
        <x:v>0.2802582369051301</x:v>
      </x:c>
      <x:c r="R8" s="34" t="n">
        <x:f>$N8*EXP(LN($O8)^2/2)*(IF(G8="",1,NORM.S.DIST((LN(G8)-LN($N8)-LN($O8)^2)/LN($O8),TRUE))-IF(F8=0,0,NORM.S.DIST((LN(F8)-LN($N8)-LN($O8)^2)/LN($O8),TRUE)))/(IF(G8="",1,NORM.S.DIST((LN(G8)-LN($N8))/LN($O8),TRUE))-IF(F8=0,0,NORM.S.DIST((LN(F8)-LN($N8))/LN($O8),TRUE)))</x:f>
        <x:v>90.88700926689887</x:v>
      </x:c>
      <x:c r="S8" s="34" t="n">
        <x:f>$N8*EXP(LN($O8)^2/2)*(IF(J8="",1,NORM.S.DIST((LN(J8)-LN($N8)-LN($O8)^2)/LN($O8),TRUE))-IF(I8=0,0,NORM.S.DIST((LN(I8)-LN($N8)-LN($O8)^2)/LN($O8),TRUE)))/(IF(J8="",1,NORM.S.DIST((LN(J8)-LN($N8))/LN($O8),TRUE))-IF(I8=0,0,NORM.S.DIST((LN(I8)-LN($N8))/LN($O8),TRUE)))</x:f>
        <x:v>33.36460314963744</x:v>
      </x:c>
      <x:c r="T8" s="34" t="n">
        <x:f>R8-S8</x:f>
        <x:v>57.52240611726143</x:v>
      </x:c>
      <x:c r="U8" s="34" t="n">
        <x:f>IF(G8="",1.2*F8,(F8+G8)/2)</x:f>
        <x:v>92.5</x:v>
      </x:c>
      <x:c r="V8" s="34" t="n">
        <x:f>IF(J8="",1.2*I8,(I8+J8)/2)</x:f>
        <x:v>37.25</x:v>
      </x:c>
      <x:c r="W8" s="34" t="n">
        <x:f>U8-V8</x:f>
        <x:v>55.25</x:v>
      </x:c>
      <x:c r="X8" s="30" t="str">
        <x:v>https://www.scielosp.org/pdf/bwho/2003.v81n10/732-738/en</x:v>
      </x:c>
      <x:c r="Y8" s="30" t="str"/>
    </x:row>
    <x:row r="9" ht="15" hidden="0" customHeight="1">
      <x:c r="A9" s="30" t="str">
        <x:v>Pershagen1992</x:v>
      </x:c>
      <x:c r="B9" s="30" t="str">
        <x:v>Pershagen et al.</x:v>
      </x:c>
      <x:c r="C9" s="30" t="n">
        <x:v>1992</x:v>
      </x:c>
      <x:c r="D9" s="30" t="str">
        <x:v>Sweden</x:v>
      </x:c>
      <x:c r="E9" s="30" t="str">
        <x:v>111-150</x:v>
      </x:c>
      <x:c r="F9" s="34" t="n">
        <x:v>110.5</x:v>
      </x:c>
      <x:c r="G9" s="34" t="n">
        <x:v>150.5</x:v>
      </x:c>
      <x:c r="H9" s="34" t="str">
        <x:v>&lt;75</x:v>
      </x:c>
      <x:c r="I9" s="34" t="n">
        <x:v>0</x:v>
      </x:c>
      <x:c r="J9" s="34" t="n">
        <x:v>74.5</x:v>
      </x:c>
      <x:c r="K9" s="34" t="n">
        <x:v>1.3</x:v>
      </x:c>
      <x:c r="L9" s="34" t="n">
        <x:v>0.7</x:v>
      </x:c>
      <x:c r="M9" s="34" t="n">
        <x:v>2.3</x:v>
      </x:c>
      <x:c r="N9" s="34" t="n">
        <x:f>XLOOKUP(D9,'Country Distributions'!$A$2:$A$10,'Country Distributions'!$C$2:$C$10)</x:f>
        <x:v>56</x:v>
      </x:c>
      <x:c r="O9" s="34" t="n">
        <x:f>XLOOKUP(D9,'Country Distributions'!$A$2:$A$10,'Country Distributions'!$D$2:$D$10)</x:f>
        <x:v>3.1459189700020884</x:v>
      </x:c>
      <x:c r="P9" s="34" t="n">
        <x:f>LN(K9)</x:f>
        <x:v>0.26236426446749106</x:v>
      </x:c>
      <x:c r="Q9" s="34" t="n">
        <x:f>(LN(M9)-LN(L9))/3.92</x:f>
        <x:v>0.3034653231821011</x:v>
      </x:c>
      <x:c r="R9" s="34" t="n">
        <x:f>$N9*EXP(LN($O9)^2/2)*(IF(G9="",1,NORM.S.DIST((LN(G9)-LN($N9)-LN($O9)^2)/LN($O9),TRUE))-IF(F9=0,0,NORM.S.DIST((LN(F9)-LN($N9)-LN($O9)^2)/LN($O9),TRUE)))/(IF(G9="",1,NORM.S.DIST((LN(G9)-LN($N9))/LN($O9),TRUE))-IF(F9=0,0,NORM.S.DIST((LN(F9)-LN($N9))/LN($O9),TRUE)))</x:f>
        <x:v>128.82029776083354</x:v>
      </x:c>
      <x:c r="S9" s="34" t="n">
        <x:f>$N9*EXP(LN($O9)^2/2)*(IF(J9="",1,NORM.S.DIST((LN(J9)-LN($N9)-LN($O9)^2)/LN($O9),TRUE))-IF(I9=0,0,NORM.S.DIST((LN(I9)-LN($N9)-LN($O9)^2)/LN($O9),TRUE)))/(IF(J9="",1,NORM.S.DIST((LN(J9)-LN($N9))/LN($O9),TRUE))-IF(I9=0,0,NORM.S.DIST((LN(I9)-LN($N9))/LN($O9),TRUE)))</x:f>
        <x:v>33.36460314963744</x:v>
      </x:c>
      <x:c r="T9" s="34" t="n">
        <x:f>R9-S9</x:f>
        <x:v>95.4556946111961</x:v>
      </x:c>
      <x:c r="U9" s="34" t="n">
        <x:f>IF(G9="",1.2*F9,(F9+G9)/2)</x:f>
        <x:v>130.5</x:v>
      </x:c>
      <x:c r="V9" s="34" t="n">
        <x:f>IF(J9="",1.2*I9,(I9+J9)/2)</x:f>
        <x:v>37.25</x:v>
      </x:c>
      <x:c r="W9" s="34" t="n">
        <x:f>U9-V9</x:f>
        <x:v>93.25</x:v>
      </x:c>
      <x:c r="X9" s="30" t="str">
        <x:v>https://www.scielosp.org/pdf/bwho/2003.v81n10/732-738/en</x:v>
      </x:c>
      <x:c r="Y9" s="30" t="str"/>
    </x:row>
    <x:row r="10" ht="15" hidden="0" customHeight="1">
      <x:c r="A10" s="30" t="str">
        <x:v>Pershagen1992</x:v>
      </x:c>
      <x:c r="B10" s="30" t="str">
        <x:v>Pershagen et al.</x:v>
      </x:c>
      <x:c r="C10" s="30" t="n">
        <x:v>1992</x:v>
      </x:c>
      <x:c r="D10" s="30" t="str">
        <x:v>Sweden</x:v>
      </x:c>
      <x:c r="E10" s="30" t="str">
        <x:v>&gt;=151</x:v>
      </x:c>
      <x:c r="F10" s="34" t="n">
        <x:v>150.5</x:v>
      </x:c>
      <x:c r="G10" s="34"/>
      <x:c r="H10" s="34" t="str">
        <x:v>&lt;75</x:v>
      </x:c>
      <x:c r="I10" s="34" t="n">
        <x:v>0</x:v>
      </x:c>
      <x:c r="J10" s="34" t="n">
        <x:v>74.5</x:v>
      </x:c>
      <x:c r="K10" s="34" t="n">
        <x:v>1.7</x:v>
      </x:c>
      <x:c r="L10" s="34" t="n">
        <x:v>1</x:v>
      </x:c>
      <x:c r="M10" s="34" t="n">
        <x:v>2.4</x:v>
      </x:c>
      <x:c r="N10" s="34" t="n">
        <x:f>XLOOKUP(D10,'Country Distributions'!$A$2:$A$10,'Country Distributions'!$C$2:$C$10)</x:f>
        <x:v>56</x:v>
      </x:c>
      <x:c r="O10" s="34" t="n">
        <x:f>XLOOKUP(D10,'Country Distributions'!$A$2:$A$10,'Country Distributions'!$D$2:$D$10)</x:f>
        <x:v>3.1459189700020884</x:v>
      </x:c>
      <x:c r="P10" s="34" t="n">
        <x:f>LN(K10)</x:f>
        <x:v>0.5306282510621704</x:v>
      </x:c>
      <x:c r="Q10" s="34" t="n">
        <x:f>(LN(M10)-LN(L10))/3.92</x:f>
        <x:v>0.22333386156987242</x:v>
      </x:c>
      <x:c r="R10" s="34" t="n">
        <x:f>$N10*EXP(LN($O10)^2/2)*(IF(G10="",1,NORM.S.DIST((LN(G10)-LN($N10)-LN($O10)^2)/LN($O10),TRUE))-IF(F10=0,0,NORM.S.DIST((LN(F10)-LN($N10)-LN($O10)^2)/LN($O10),TRUE)))/(IF(G10="",1,NORM.S.DIST((LN(G10)-LN($N10))/LN($O10),TRUE))-IF(F10=0,0,NORM.S.DIST((LN(F10)-LN($N10))/LN($O10),TRUE)))</x:f>
        <x:v>340.16344722916125</x:v>
      </x:c>
      <x:c r="S10" s="34" t="n">
        <x:f>$N10*EXP(LN($O10)^2/2)*(IF(J10="",1,NORM.S.DIST((LN(J10)-LN($N10)-LN($O10)^2)/LN($O10),TRUE))-IF(I10=0,0,NORM.S.DIST((LN(I10)-LN($N10)-LN($O10)^2)/LN($O10),TRUE)))/(IF(J10="",1,NORM.S.DIST((LN(J10)-LN($N10))/LN($O10),TRUE))-IF(I10=0,0,NORM.S.DIST((LN(I10)-LN($N10))/LN($O10),TRUE)))</x:f>
        <x:v>33.36460314963744</x:v>
      </x:c>
      <x:c r="T10" s="34" t="n">
        <x:f>R10-S10</x:f>
        <x:v>306.7988440795238</x:v>
      </x:c>
      <x:c r="U10" s="34" t="n">
        <x:f>IF(G10="",1.2*F10,(F10+G10)/2)</x:f>
        <x:v>180.6</x:v>
      </x:c>
      <x:c r="V10" s="34" t="n">
        <x:f>IF(J10="",1.2*I10,(I10+J10)/2)</x:f>
        <x:v>37.25</x:v>
      </x:c>
      <x:c r="W10" s="34" t="n">
        <x:f>U10-V10</x:f>
        <x:v>143.35</x:v>
      </x:c>
      <x:c r="X10" s="30" t="str">
        <x:v>https://www.scielosp.org/pdf/bwho/2003.v81n10/732-738/en</x:v>
      </x:c>
      <x:c r="Y10" s="30" t="str">
        <x:v>Right-unbounded comparison support</x:v>
      </x:c>
    </x:row>
    <x:row r="11" ht="15" hidden="0" customHeight="1">
      <x:c r="A11" s="30" t="str">
        <x:v>Alavanja1994</x:v>
      </x:c>
      <x:c r="B11" s="30" t="str">
        <x:v>Alavanja et al.</x:v>
      </x:c>
      <x:c r="C11" s="30" t="n">
        <x:v>1994</x:v>
      </x:c>
      <x:c r="D11" s="30" t="str">
        <x:v>USA</x:v>
      </x:c>
      <x:c r="E11" s="30" t="str">
        <x:v>30-43</x:v>
      </x:c>
      <x:c r="F11" s="34" t="n">
        <x:v>29.5</x:v>
      </x:c>
      <x:c r="G11" s="34" t="n">
        <x:v>43.5</x:v>
      </x:c>
      <x:c r="H11" s="34" t="str">
        <x:v>&lt;30</x:v>
      </x:c>
      <x:c r="I11" s="34" t="n">
        <x:v>0</x:v>
      </x:c>
      <x:c r="J11" s="34" t="n">
        <x:v>29.5</x:v>
      </x:c>
      <x:c r="K11" s="34" t="n">
        <x:v>1.01</x:v>
      </x:c>
      <x:c r="L11" s="34" t="n">
        <x:v>0.7</x:v>
      </x:c>
      <x:c r="M11" s="34" t="n">
        <x:v>1.4</x:v>
      </x:c>
      <x:c r="N11" s="34" t="n">
        <x:f>XLOOKUP(D11,'Country Distributions'!$A$2:$A$10,'Country Distributions'!$C$2:$C$10)</x:f>
        <x:v>25</x:v>
      </x:c>
      <x:c r="O11" s="34" t="n">
        <x:f>XLOOKUP(D11,'Country Distributions'!$A$2:$A$10,'Country Distributions'!$D$2:$D$10)</x:f>
        <x:v>3.1</x:v>
      </x:c>
      <x:c r="P11" s="34" t="n">
        <x:f>LN(K11)</x:f>
        <x:v>0.009950330853168092</x:v>
      </x:c>
      <x:c r="Q11" s="34" t="n">
        <x:f>(LN(M11)-LN(L11))/3.92</x:f>
        <x:v>0.17682326034692483</x:v>
      </x:c>
      <x:c r="R11" s="34" t="n">
        <x:f>$N11*EXP(LN($O11)^2/2)*(IF(G11="",1,NORM.S.DIST((LN(G11)-LN($N11)-LN($O11)^2)/LN($O11),TRUE))-IF(F11=0,0,NORM.S.DIST((LN(F11)-LN($N11)-LN($O11)^2)/LN($O11),TRUE)))/(IF(G11="",1,NORM.S.DIST((LN(G11)-LN($N11))/LN($O11),TRUE))-IF(F11=0,0,NORM.S.DIST((LN(F11)-LN($N11))/LN($O11),TRUE)))</x:f>
        <x:v>35.92076171085986</x:v>
      </x:c>
      <x:c r="S11" s="34" t="n">
        <x:f>$N11*EXP(LN($O11)^2/2)*(IF(J11="",1,NORM.S.DIST((LN(J11)-LN($N11)-LN($O11)^2)/LN($O11),TRUE))-IF(I11=0,0,NORM.S.DIST((LN(I11)-LN($N11)-LN($O11)^2)/LN($O11),TRUE)))/(IF(J11="",1,NORM.S.DIST((LN(J11)-LN($N11))/LN($O11),TRUE))-IF(I11=0,0,NORM.S.DIST((LN(I11)-LN($N11))/LN($O11),TRUE)))</x:f>
        <x:v>13.785658810385224</x:v>
      </x:c>
      <x:c r="T11" s="34" t="n">
        <x:f>R11-S11</x:f>
        <x:v>22.135102900474635</x:v>
      </x:c>
      <x:c r="U11" s="34" t="n">
        <x:f>IF(G11="",1.2*F11,(F11+G11)/2)</x:f>
        <x:v>36.5</x:v>
      </x:c>
      <x:c r="V11" s="34" t="n">
        <x:f>IF(J11="",1.2*I11,(I11+J11)/2)</x:f>
        <x:v>14.75</x:v>
      </x:c>
      <x:c r="W11" s="34" t="n">
        <x:f>U11-V11</x:f>
        <x:v>21.75</x:v>
      </x:c>
      <x:c r="X11" s="30" t="str">
        <x:v>https://www.scielosp.org/pdf/bwho/2003.v81n10/732-738/en</x:v>
      </x:c>
      <x:c r="Y11" s="30" t="str"/>
    </x:row>
    <x:row r="12" ht="15" hidden="0" customHeight="1">
      <x:c r="A12" s="30" t="str">
        <x:v>Alavanja1994</x:v>
      </x:c>
      <x:c r="B12" s="30" t="str">
        <x:v>Alavanja et al.</x:v>
      </x:c>
      <x:c r="C12" s="30" t="n">
        <x:v>1994</x:v>
      </x:c>
      <x:c r="D12" s="30" t="str">
        <x:v>USA</x:v>
      </x:c>
      <x:c r="E12" s="30" t="str">
        <x:v>44-63</x:v>
      </x:c>
      <x:c r="F12" s="34" t="n">
        <x:v>43.5</x:v>
      </x:c>
      <x:c r="G12" s="34" t="n">
        <x:v>63.5</x:v>
      </x:c>
      <x:c r="H12" s="34" t="str">
        <x:v>&lt;30</x:v>
      </x:c>
      <x:c r="I12" s="34" t="n">
        <x:v>0</x:v>
      </x:c>
      <x:c r="J12" s="34" t="n">
        <x:v>29.5</x:v>
      </x:c>
      <x:c r="K12" s="34" t="n">
        <x:v>0.84</x:v>
      </x:c>
      <x:c r="L12" s="34" t="n">
        <x:v>0.6</x:v>
      </x:c>
      <x:c r="M12" s="34" t="n">
        <x:v>1.3</x:v>
      </x:c>
      <x:c r="N12" s="34" t="n">
        <x:f>XLOOKUP(D12,'Country Distributions'!$A$2:$A$10,'Country Distributions'!$C$2:$C$10)</x:f>
        <x:v>25</x:v>
      </x:c>
      <x:c r="O12" s="34" t="n">
        <x:f>XLOOKUP(D12,'Country Distributions'!$A$2:$A$10,'Country Distributions'!$D$2:$D$10)</x:f>
        <x:v>3.1</x:v>
      </x:c>
      <x:c r="P12" s="34" t="n">
        <x:f>LN(K12)</x:f>
        <x:v>-0.1743533871447778</x:v>
      </x:c>
      <x:c r="Q12" s="34" t="n">
        <x:f>(LN(M12)-LN(L12))/3.92</x:f>
        <x:v>0.19724231842690862</x:v>
      </x:c>
      <x:c r="R12" s="34" t="n">
        <x:f>$N12*EXP(LN($O12)^2/2)*(IF(G12="",1,NORM.S.DIST((LN(G12)-LN($N12)-LN($O12)^2)/LN($O12),TRUE))-IF(F12=0,0,NORM.S.DIST((LN(F12)-LN($N12)-LN($O12)^2)/LN($O12),TRUE)))/(IF(G12="",1,NORM.S.DIST((LN(G12)-LN($N12))/LN($O12),TRUE))-IF(F12=0,0,NORM.S.DIST((LN(F12)-LN($N12))/LN($O12),TRUE)))</x:f>
        <x:v>52.506930451348765</x:v>
      </x:c>
      <x:c r="S12" s="34" t="n">
        <x:f>$N12*EXP(LN($O12)^2/2)*(IF(J12="",1,NORM.S.DIST((LN(J12)-LN($N12)-LN($O12)^2)/LN($O12),TRUE))-IF(I12=0,0,NORM.S.DIST((LN(I12)-LN($N12)-LN($O12)^2)/LN($O12),TRUE)))/(IF(J12="",1,NORM.S.DIST((LN(J12)-LN($N12))/LN($O12),TRUE))-IF(I12=0,0,NORM.S.DIST((LN(I12)-LN($N12))/LN($O12),TRUE)))</x:f>
        <x:v>13.785658810385224</x:v>
      </x:c>
      <x:c r="T12" s="34" t="n">
        <x:f>R12-S12</x:f>
        <x:v>38.72127164096354</x:v>
      </x:c>
      <x:c r="U12" s="34" t="n">
        <x:f>IF(G12="",1.2*F12,(F12+G12)/2)</x:f>
        <x:v>53.5</x:v>
      </x:c>
      <x:c r="V12" s="34" t="n">
        <x:f>IF(J12="",1.2*I12,(I12+J12)/2)</x:f>
        <x:v>14.75</x:v>
      </x:c>
      <x:c r="W12" s="34" t="n">
        <x:f>U12-V12</x:f>
        <x:v>38.75</x:v>
      </x:c>
      <x:c r="X12" s="30" t="str">
        <x:v>https://www.scielosp.org/pdf/bwho/2003.v81n10/732-738/en</x:v>
      </x:c>
      <x:c r="Y12" s="30" t="str"/>
    </x:row>
    <x:row r="13" ht="15" hidden="0" customHeight="1">
      <x:c r="A13" s="30" t="str">
        <x:v>Alavanja1994</x:v>
      </x:c>
      <x:c r="B13" s="30" t="str">
        <x:v>Alavanja et al.</x:v>
      </x:c>
      <x:c r="C13" s="30" t="n">
        <x:v>1994</x:v>
      </x:c>
      <x:c r="D13" s="30" t="str">
        <x:v>USA</x:v>
      </x:c>
      <x:c r="E13" s="30" t="str">
        <x:v>64-91</x:v>
      </x:c>
      <x:c r="F13" s="34" t="n">
        <x:v>63.5</x:v>
      </x:c>
      <x:c r="G13" s="34" t="n">
        <x:v>91.5</x:v>
      </x:c>
      <x:c r="H13" s="34" t="str">
        <x:v>&lt;30</x:v>
      </x:c>
      <x:c r="I13" s="34" t="n">
        <x:v>0</x:v>
      </x:c>
      <x:c r="J13" s="34" t="n">
        <x:v>29.5</x:v>
      </x:c>
      <x:c r="K13" s="34" t="n">
        <x:v>0.9</x:v>
      </x:c>
      <x:c r="L13" s="34" t="n">
        <x:v>0.6</x:v>
      </x:c>
      <x:c r="M13" s="34" t="n">
        <x:v>1.3</x:v>
      </x:c>
      <x:c r="N13" s="34" t="n">
        <x:f>XLOOKUP(D13,'Country Distributions'!$A$2:$A$10,'Country Distributions'!$C$2:$C$10)</x:f>
        <x:v>25</x:v>
      </x:c>
      <x:c r="O13" s="34" t="n">
        <x:f>XLOOKUP(D13,'Country Distributions'!$A$2:$A$10,'Country Distributions'!$D$2:$D$10)</x:f>
        <x:v>3.1</x:v>
      </x:c>
      <x:c r="P13" s="34" t="n">
        <x:f>LN(K13)</x:f>
        <x:v>-0.10536051565782628</x:v>
      </x:c>
      <x:c r="Q13" s="34" t="n">
        <x:f>(LN(M13)-LN(L13))/3.92</x:f>
        <x:v>0.19724231842690862</x:v>
      </x:c>
      <x:c r="R13" s="34" t="n">
        <x:f>$N13*EXP(LN($O13)^2/2)*(IF(G13="",1,NORM.S.DIST((LN(G13)-LN($N13)-LN($O13)^2)/LN($O13),TRUE))-IF(F13=0,0,NORM.S.DIST((LN(F13)-LN($N13)-LN($O13)^2)/LN($O13),TRUE)))/(IF(G13="",1,NORM.S.DIST((LN(G13)-LN($N13))/LN($O13),TRUE))-IF(F13=0,0,NORM.S.DIST((LN(F13)-LN($N13))/LN($O13),TRUE)))</x:f>
        <x:v>75.91260577159767</x:v>
      </x:c>
      <x:c r="S13" s="34" t="n">
        <x:f>$N13*EXP(LN($O13)^2/2)*(IF(J13="",1,NORM.S.DIST((LN(J13)-LN($N13)-LN($O13)^2)/LN($O13),TRUE))-IF(I13=0,0,NORM.S.DIST((LN(I13)-LN($N13)-LN($O13)^2)/LN($O13),TRUE)))/(IF(J13="",1,NORM.S.DIST((LN(J13)-LN($N13))/LN($O13),TRUE))-IF(I13=0,0,NORM.S.DIST((LN(I13)-LN($N13))/LN($O13),TRUE)))</x:f>
        <x:v>13.785658810385224</x:v>
      </x:c>
      <x:c r="T13" s="34" t="n">
        <x:f>R13-S13</x:f>
        <x:v>62.12694696121245</x:v>
      </x:c>
      <x:c r="U13" s="34" t="n">
        <x:f>IF(G13="",1.2*F13,(F13+G13)/2)</x:f>
        <x:v>77.5</x:v>
      </x:c>
      <x:c r="V13" s="34" t="n">
        <x:f>IF(J13="",1.2*I13,(I13+J13)/2)</x:f>
        <x:v>14.75</x:v>
      </x:c>
      <x:c r="W13" s="34" t="n">
        <x:f>U13-V13</x:f>
        <x:v>62.75</x:v>
      </x:c>
      <x:c r="X13" s="30" t="str">
        <x:v>https://www.scielosp.org/pdf/bwho/2003.v81n10/732-738/en</x:v>
      </x:c>
      <x:c r="Y13" s="30" t="str"/>
    </x:row>
    <x:row r="14" ht="15" hidden="0" customHeight="1">
      <x:c r="A14" s="30" t="str">
        <x:v>Alavanja1994</x:v>
      </x:c>
      <x:c r="B14" s="30" t="str">
        <x:v>Alavanja et al.</x:v>
      </x:c>
      <x:c r="C14" s="30" t="n">
        <x:v>1994</x:v>
      </x:c>
      <x:c r="D14" s="30" t="str">
        <x:v>USA</x:v>
      </x:c>
      <x:c r="E14" s="30" t="str">
        <x:v>&gt;91</x:v>
      </x:c>
      <x:c r="F14" s="34" t="n">
        <x:v>91.5</x:v>
      </x:c>
      <x:c r="G14" s="34"/>
      <x:c r="H14" s="34" t="str">
        <x:v>&lt;30</x:v>
      </x:c>
      <x:c r="I14" s="34" t="n">
        <x:v>0</x:v>
      </x:c>
      <x:c r="J14" s="34" t="n">
        <x:v>29.5</x:v>
      </x:c>
      <x:c r="K14" s="34" t="n">
        <x:v>1.2</x:v>
      </x:c>
      <x:c r="L14" s="34" t="n">
        <x:v>0.9</x:v>
      </x:c>
      <x:c r="M14" s="34" t="n">
        <x:v>1.7</x:v>
      </x:c>
      <x:c r="N14" s="34" t="n">
        <x:f>XLOOKUP(D14,'Country Distributions'!$A$2:$A$10,'Country Distributions'!$C$2:$C$10)</x:f>
        <x:v>25</x:v>
      </x:c>
      <x:c r="O14" s="34" t="n">
        <x:f>XLOOKUP(D14,'Country Distributions'!$A$2:$A$10,'Country Distributions'!$D$2:$D$10)</x:f>
        <x:v>3.1</x:v>
      </x:c>
      <x:c r="P14" s="34" t="n">
        <x:f>LN(K14)</x:f>
        <x:v>0.1823215567939546</x:v>
      </x:c>
      <x:c r="Q14" s="34" t="n">
        <x:f>(LN(M14)-LN(L14))/3.92</x:f>
        <x:v>0.16224203232652976</x:v>
      </x:c>
      <x:c r="R14" s="34" t="n">
        <x:f>$N14*EXP(LN($O14)^2/2)*(IF(G14="",1,NORM.S.DIST((LN(G14)-LN($N14)-LN($O14)^2)/LN($O14),TRUE))-IF(F14=0,0,NORM.S.DIST((LN(F14)-LN($N14)-LN($O14)^2)/LN($O14),TRUE)))/(IF(G14="",1,NORM.S.DIST((LN(G14)-LN($N14))/LN($O14),TRUE))-IF(F14=0,0,NORM.S.DIST((LN(F14)-LN($N14))/LN($O14),TRUE)))</x:f>
        <x:v>186.23007346907167</x:v>
      </x:c>
      <x:c r="S14" s="34" t="n">
        <x:f>$N14*EXP(LN($O14)^2/2)*(IF(J14="",1,NORM.S.DIST((LN(J14)-LN($N14)-LN($O14)^2)/LN($O14),TRUE))-IF(I14=0,0,NORM.S.DIST((LN(I14)-LN($N14)-LN($O14)^2)/LN($O14),TRUE)))/(IF(J14="",1,NORM.S.DIST((LN(J14)-LN($N14))/LN($O14),TRUE))-IF(I14=0,0,NORM.S.DIST((LN(I14)-LN($N14))/LN($O14),TRUE)))</x:f>
        <x:v>13.785658810385224</x:v>
      </x:c>
      <x:c r="T14" s="34" t="n">
        <x:f>R14-S14</x:f>
        <x:v>172.44441465868644</x:v>
      </x:c>
      <x:c r="U14" s="34" t="n">
        <x:f>IF(G14="",1.2*F14,(F14+G14)/2)</x:f>
        <x:v>109.8</x:v>
      </x:c>
      <x:c r="V14" s="34" t="n">
        <x:f>IF(J14="",1.2*I14,(I14+J14)/2)</x:f>
        <x:v>14.75</x:v>
      </x:c>
      <x:c r="W14" s="34" t="n">
        <x:f>U14-V14</x:f>
        <x:v>95.05</x:v>
      </x:c>
      <x:c r="X14" s="30" t="str">
        <x:v>https://www.scielosp.org/pdf/bwho/2003.v81n10/732-738/en</x:v>
      </x:c>
      <x:c r="Y14" s="30" t="str">
        <x:v>Right-unbounded comparison support</x:v>
      </x:c>
    </x:row>
    <x:row r="15" ht="15" hidden="0" customHeight="1">
      <x:c r="A15" s="30" t="str">
        <x:v>Pershagen1994</x:v>
      </x:c>
      <x:c r="B15" s="30" t="str">
        <x:v>Pershagen et al.</x:v>
      </x:c>
      <x:c r="C15" s="30" t="n">
        <x:v>1994</x:v>
      </x:c>
      <x:c r="D15" s="30" t="str">
        <x:v>Sweden</x:v>
      </x:c>
      <x:c r="E15" s="30" t="str">
        <x:v>51-80</x:v>
      </x:c>
      <x:c r="F15" s="34" t="n">
        <x:v>50.5</x:v>
      </x:c>
      <x:c r="G15" s="34" t="n">
        <x:v>80.5</x:v>
      </x:c>
      <x:c r="H15" s="34" t="str">
        <x:v>&lt;=50</x:v>
      </x:c>
      <x:c r="I15" s="34" t="n">
        <x:v>0</x:v>
      </x:c>
      <x:c r="J15" s="34" t="n">
        <x:v>50.5</x:v>
      </x:c>
      <x:c r="K15" s="34" t="n">
        <x:v>1.1</x:v>
      </x:c>
      <x:c r="L15" s="34" t="n">
        <x:v>0.9</x:v>
      </x:c>
      <x:c r="M15" s="34" t="n">
        <x:v>1.3</x:v>
      </x:c>
      <x:c r="N15" s="34" t="n">
        <x:f>XLOOKUP(D15,'Country Distributions'!$A$2:$A$10,'Country Distributions'!$C$2:$C$10)</x:f>
        <x:v>56</x:v>
      </x:c>
      <x:c r="O15" s="34" t="n">
        <x:f>XLOOKUP(D15,'Country Distributions'!$A$2:$A$10,'Country Distributions'!$D$2:$D$10)</x:f>
        <x:v>3.1459189700020884</x:v>
      </x:c>
      <x:c r="P15" s="34" t="n">
        <x:f>LN(K15)</x:f>
        <x:v>0.09531017980432493</x:v>
      </x:c>
      <x:c r="Q15" s="34" t="n">
        <x:f>(LN(M15)-LN(L15))/3.92</x:f>
        <x:v>0.0938073418687034</x:v>
      </x:c>
      <x:c r="R15" s="34" t="n">
        <x:f>$N15*EXP(LN($O15)^2/2)*(IF(G15="",1,NORM.S.DIST((LN(G15)-LN($N15)-LN($O15)^2)/LN($O15),TRUE))-IF(F15=0,0,NORM.S.DIST((LN(F15)-LN($N15)-LN($O15)^2)/LN($O15),TRUE)))/(IF(G15="",1,NORM.S.DIST((LN(G15)-LN($N15))/LN($O15),TRUE))-IF(F15=0,0,NORM.S.DIST((LN(F15)-LN($N15))/LN($O15),TRUE)))</x:f>
        <x:v>64.22123528210379</x:v>
      </x:c>
      <x:c r="S15" s="34" t="n">
        <x:f>$N15*EXP(LN($O15)^2/2)*(IF(J15="",1,NORM.S.DIST((LN(J15)-LN($N15)-LN($O15)^2)/LN($O15),TRUE))-IF(I15=0,0,NORM.S.DIST((LN(I15)-LN($N15)-LN($O15)^2)/LN($O15),TRUE)))/(IF(J15="",1,NORM.S.DIST((LN(J15)-LN($N15))/LN($O15),TRUE))-IF(I15=0,0,NORM.S.DIST((LN(I15)-LN($N15))/LN($O15),TRUE)))</x:f>
        <x:v>25.174589113972278</x:v>
      </x:c>
      <x:c r="T15" s="34" t="n">
        <x:f>R15-S15</x:f>
        <x:v>39.04664616813152</x:v>
      </x:c>
      <x:c r="U15" s="34" t="n">
        <x:f>IF(G15="",1.2*F15,(F15+G15)/2)</x:f>
        <x:v>65.5</x:v>
      </x:c>
      <x:c r="V15" s="34" t="n">
        <x:f>IF(J15="",1.2*I15,(I15+J15)/2)</x:f>
        <x:v>25.25</x:v>
      </x:c>
      <x:c r="W15" s="34" t="n">
        <x:f>U15-V15</x:f>
        <x:v>40.25</x:v>
      </x:c>
      <x:c r="X15" s="30" t="str">
        <x:v>https://www.scielosp.org/pdf/bwho/2003.v81n10/732-738/en</x:v>
      </x:c>
      <x:c r="Y15" s="30" t="str"/>
    </x:row>
    <x:row r="16" ht="15" hidden="0" customHeight="1">
      <x:c r="A16" s="30" t="str">
        <x:v>Pershagen1994</x:v>
      </x:c>
      <x:c r="B16" s="30" t="str">
        <x:v>Pershagen et al.</x:v>
      </x:c>
      <x:c r="C16" s="30" t="n">
        <x:v>1994</x:v>
      </x:c>
      <x:c r="D16" s="30" t="str">
        <x:v>Sweden</x:v>
      </x:c>
      <x:c r="E16" s="30" t="str">
        <x:v>81-140</x:v>
      </x:c>
      <x:c r="F16" s="34" t="n">
        <x:v>80.5</x:v>
      </x:c>
      <x:c r="G16" s="34" t="n">
        <x:v>140.5</x:v>
      </x:c>
      <x:c r="H16" s="34" t="str">
        <x:v>&lt;=50</x:v>
      </x:c>
      <x:c r="I16" s="34" t="n">
        <x:v>0</x:v>
      </x:c>
      <x:c r="J16" s="34" t="n">
        <x:v>50.5</x:v>
      </x:c>
      <x:c r="K16" s="34" t="n">
        <x:v>1</x:v>
      </x:c>
      <x:c r="L16" s="34" t="n">
        <x:v>0.8</x:v>
      </x:c>
      <x:c r="M16" s="34" t="n">
        <x:v>1.3</x:v>
      </x:c>
      <x:c r="N16" s="34" t="n">
        <x:f>XLOOKUP(D16,'Country Distributions'!$A$2:$A$10,'Country Distributions'!$C$2:$C$10)</x:f>
        <x:v>56</x:v>
      </x:c>
      <x:c r="O16" s="34" t="n">
        <x:f>XLOOKUP(D16,'Country Distributions'!$A$2:$A$10,'Country Distributions'!$D$2:$D$10)</x:f>
        <x:v>3.1459189700020884</x:v>
      </x:c>
      <x:c r="P16" s="34" t="n">
        <x:f>LN(K16)</x:f>
        <x:v>0</x:v>
      </x:c>
      <x:c r="Q16" s="34" t="n">
        <x:f>(LN(M16)-LN(L16))/3.92</x:f>
        <x:v>0.12385403463818898</x:v>
      </x:c>
      <x:c r="R16" s="34" t="n">
        <x:f>$N16*EXP(LN($O16)^2/2)*(IF(G16="",1,NORM.S.DIST((LN(G16)-LN($N16)-LN($O16)^2)/LN($O16),TRUE))-IF(F16=0,0,NORM.S.DIST((LN(F16)-LN($N16)-LN($O16)^2)/LN($O16),TRUE)))/(IF(G16="",1,NORM.S.DIST((LN(G16)-LN($N16))/LN($O16),TRUE))-IF(F16=0,0,NORM.S.DIST((LN(F16)-LN($N16))/LN($O16),TRUE)))</x:f>
        <x:v>106.38159787052008</x:v>
      </x:c>
      <x:c r="S16" s="34" t="n">
        <x:f>$N16*EXP(LN($O16)^2/2)*(IF(J16="",1,NORM.S.DIST((LN(J16)-LN($N16)-LN($O16)^2)/LN($O16),TRUE))-IF(I16=0,0,NORM.S.DIST((LN(I16)-LN($N16)-LN($O16)^2)/LN($O16),TRUE)))/(IF(J16="",1,NORM.S.DIST((LN(J16)-LN($N16))/LN($O16),TRUE))-IF(I16=0,0,NORM.S.DIST((LN(I16)-LN($N16))/LN($O16),TRUE)))</x:f>
        <x:v>25.174589113972278</x:v>
      </x:c>
      <x:c r="T16" s="34" t="n">
        <x:f>R16-S16</x:f>
        <x:v>81.20700875654781</x:v>
      </x:c>
      <x:c r="U16" s="34" t="n">
        <x:f>IF(G16="",1.2*F16,(F16+G16)/2)</x:f>
        <x:v>110.5</x:v>
      </x:c>
      <x:c r="V16" s="34" t="n">
        <x:f>IF(J16="",1.2*I16,(I16+J16)/2)</x:f>
        <x:v>25.25</x:v>
      </x:c>
      <x:c r="W16" s="34" t="n">
        <x:f>U16-V16</x:f>
        <x:v>85.25</x:v>
      </x:c>
      <x:c r="X16" s="30" t="str">
        <x:v>https://www.scielosp.org/pdf/bwho/2003.v81n10/732-738/en</x:v>
      </x:c>
      <x:c r="Y16" s="30" t="str"/>
    </x:row>
    <x:row r="17" ht="15" hidden="0" customHeight="1">
      <x:c r="A17" s="30" t="str">
        <x:v>Pershagen1994</x:v>
      </x:c>
      <x:c r="B17" s="30" t="str">
        <x:v>Pershagen et al.</x:v>
      </x:c>
      <x:c r="C17" s="30" t="n">
        <x:v>1994</x:v>
      </x:c>
      <x:c r="D17" s="30" t="str">
        <x:v>Sweden</x:v>
      </x:c>
      <x:c r="E17" s="30" t="str">
        <x:v>141-400</x:v>
      </x:c>
      <x:c r="F17" s="34" t="n">
        <x:v>140.5</x:v>
      </x:c>
      <x:c r="G17" s="34" t="n">
        <x:v>400.5</x:v>
      </x:c>
      <x:c r="H17" s="34" t="str">
        <x:v>&lt;=50</x:v>
      </x:c>
      <x:c r="I17" s="34" t="n">
        <x:v>0</x:v>
      </x:c>
      <x:c r="J17" s="34" t="n">
        <x:v>50.5</x:v>
      </x:c>
      <x:c r="K17" s="34" t="n">
        <x:v>1.3</x:v>
      </x:c>
      <x:c r="L17" s="34" t="n">
        <x:v>1.1</x:v>
      </x:c>
      <x:c r="M17" s="34" t="n">
        <x:v>1.6</x:v>
      </x:c>
      <x:c r="N17" s="34" t="n">
        <x:f>XLOOKUP(D17,'Country Distributions'!$A$2:$A$10,'Country Distributions'!$C$2:$C$10)</x:f>
        <x:v>56</x:v>
      </x:c>
      <x:c r="O17" s="34" t="n">
        <x:f>XLOOKUP(D17,'Country Distributions'!$A$2:$A$10,'Country Distributions'!$D$2:$D$10)</x:f>
        <x:v>3.1459189700020884</x:v>
      </x:c>
      <x:c r="P17" s="34" t="n">
        <x:f>LN(K17)</x:f>
        <x:v>0.26236426446749106</x:v>
      </x:c>
      <x:c r="Q17" s="34" t="n">
        <x:f>(LN(M17)-LN(L17))/3.92</x:f>
        <x:v>0.09558506363301292</x:v>
      </x:c>
      <x:c r="R17" s="34" t="n">
        <x:f>$N17*EXP(LN($O17)^2/2)*(IF(G17="",1,NORM.S.DIST((LN(G17)-LN($N17)-LN($O17)^2)/LN($O17),TRUE))-IF(F17=0,0,NORM.S.DIST((LN(F17)-LN($N17)-LN($O17)^2)/LN($O17),TRUE)))/(IF(G17="",1,NORM.S.DIST((LN(G17)-LN($N17))/LN($O17),TRUE))-IF(F17=0,0,NORM.S.DIST((LN(F17)-LN($N17))/LN($O17),TRUE)))</x:f>
        <x:v>225.03357176209371</x:v>
      </x:c>
      <x:c r="S17" s="34" t="n">
        <x:f>$N17*EXP(LN($O17)^2/2)*(IF(J17="",1,NORM.S.DIST((LN(J17)-LN($N17)-LN($O17)^2)/LN($O17),TRUE))-IF(I17=0,0,NORM.S.DIST((LN(I17)-LN($N17)-LN($O17)^2)/LN($O17),TRUE)))/(IF(J17="",1,NORM.S.DIST((LN(J17)-LN($N17))/LN($O17),TRUE))-IF(I17=0,0,NORM.S.DIST((LN(I17)-LN($N17))/LN($O17),TRUE)))</x:f>
        <x:v>25.174589113972278</x:v>
      </x:c>
      <x:c r="T17" s="34" t="n">
        <x:f>R17-S17</x:f>
        <x:v>199.85898264812144</x:v>
      </x:c>
      <x:c r="U17" s="34" t="n">
        <x:f>IF(G17="",1.2*F17,(F17+G17)/2)</x:f>
        <x:v>270.5</x:v>
      </x:c>
      <x:c r="V17" s="34" t="n">
        <x:f>IF(J17="",1.2*I17,(I17+J17)/2)</x:f>
        <x:v>25.25</x:v>
      </x:c>
      <x:c r="W17" s="34" t="n">
        <x:f>U17-V17</x:f>
        <x:v>245.25</x:v>
      </x:c>
      <x:c r="X17" s="30" t="str">
        <x:v>https://www.scielosp.org/pdf/bwho/2003.v81n10/732-738/en</x:v>
      </x:c>
      <x:c r="Y17" s="30" t="str"/>
    </x:row>
    <x:row r="18" ht="15" hidden="0" customHeight="1">
      <x:c r="A18" s="30" t="str">
        <x:v>Pershagen1994</x:v>
      </x:c>
      <x:c r="B18" s="30" t="str">
        <x:v>Pershagen et al.</x:v>
      </x:c>
      <x:c r="C18" s="30" t="n">
        <x:v>1994</x:v>
      </x:c>
      <x:c r="D18" s="30" t="str">
        <x:v>Sweden</x:v>
      </x:c>
      <x:c r="E18" s="30" t="str">
        <x:v>&gt;400</x:v>
      </x:c>
      <x:c r="F18" s="34" t="n">
        <x:v>400.5</x:v>
      </x:c>
      <x:c r="G18" s="34"/>
      <x:c r="H18" s="34" t="str">
        <x:v>&lt;=50</x:v>
      </x:c>
      <x:c r="I18" s="34" t="n">
        <x:v>0</x:v>
      </x:c>
      <x:c r="J18" s="34" t="n">
        <x:v>50.5</x:v>
      </x:c>
      <x:c r="K18" s="34" t="n">
        <x:v>1.8</x:v>
      </x:c>
      <x:c r="L18" s="34" t="n">
        <x:v>1.1</x:v>
      </x:c>
      <x:c r="M18" s="34" t="n">
        <x:v>2.9</x:v>
      </x:c>
      <x:c r="N18" s="34" t="n">
        <x:f>XLOOKUP(D18,'Country Distributions'!$A$2:$A$10,'Country Distributions'!$C$2:$C$10)</x:f>
        <x:v>56</x:v>
      </x:c>
      <x:c r="O18" s="34" t="n">
        <x:f>XLOOKUP(D18,'Country Distributions'!$A$2:$A$10,'Country Distributions'!$D$2:$D$10)</x:f>
        <x:v>3.1459189700020884</x:v>
      </x:c>
      <x:c r="P18" s="34" t="n">
        <x:f>LN(K18)</x:f>
        <x:v>0.5877866649021191</x:v>
      </x:c>
      <x:c r="Q18" s="34" t="n">
        <x:f>(LN(M18)-LN(L18))/3.92</x:f>
        <x:v>0.2472960605071692</x:v>
      </x:c>
      <x:c r="R18" s="34" t="n">
        <x:f>$N18*EXP(LN($O18)^2/2)*(IF(G18="",1,NORM.S.DIST((LN(G18)-LN($N18)-LN($O18)^2)/LN($O18),TRUE))-IF(F18=0,0,NORM.S.DIST((LN(F18)-LN($N18)-LN($O18)^2)/LN($O18),TRUE)))/(IF(G18="",1,NORM.S.DIST((LN(G18)-LN($N18))/LN($O18),TRUE))-IF(F18=0,0,NORM.S.DIST((LN(F18)-LN($N18))/LN($O18),TRUE)))</x:f>
        <x:v>713.2738199605162</x:v>
      </x:c>
      <x:c r="S18" s="34" t="n">
        <x:f>$N18*EXP(LN($O18)^2/2)*(IF(J18="",1,NORM.S.DIST((LN(J18)-LN($N18)-LN($O18)^2)/LN($O18),TRUE))-IF(I18=0,0,NORM.S.DIST((LN(I18)-LN($N18)-LN($O18)^2)/LN($O18),TRUE)))/(IF(J18="",1,NORM.S.DIST((LN(J18)-LN($N18))/LN($O18),TRUE))-IF(I18=0,0,NORM.S.DIST((LN(I18)-LN($N18))/LN($O18),TRUE)))</x:f>
        <x:v>25.174589113972278</x:v>
      </x:c>
      <x:c r="T18" s="34" t="n">
        <x:f>R18-S18</x:f>
        <x:v>688.099230846544</x:v>
      </x:c>
      <x:c r="U18" s="34" t="n">
        <x:f>IF(G18="",1.2*F18,(F18+G18)/2)</x:f>
        <x:v>480.59999999999997</x:v>
      </x:c>
      <x:c r="V18" s="34" t="n">
        <x:f>IF(J18="",1.2*I18,(I18+J18)/2)</x:f>
        <x:v>25.25</x:v>
      </x:c>
      <x:c r="W18" s="34" t="n">
        <x:f>U18-V18</x:f>
        <x:v>455.34999999999997</x:v>
      </x:c>
      <x:c r="X18" s="30" t="str">
        <x:v>https://www.scielosp.org/pdf/bwho/2003.v81n10/732-738/en</x:v>
      </x:c>
      <x:c r="Y18" s="30" t="str">
        <x:v>Right-unbounded comparison support</x:v>
      </x:c>
    </x:row>
    <x:row r="19" ht="15" hidden="0" customHeight="1">
      <x:c r="A19" s="30" t="str">
        <x:v>Auvinen1996</x:v>
      </x:c>
      <x:c r="B19" s="30" t="str">
        <x:v>Auvinen et al.</x:v>
      </x:c>
      <x:c r="C19" s="30" t="n">
        <x:v>1996</x:v>
      </x:c>
      <x:c r="D19" s="30" t="str">
        <x:v>Finland</x:v>
      </x:c>
      <x:c r="E19" s="30" t="str">
        <x:v>50-99</x:v>
      </x:c>
      <x:c r="F19" s="34" t="n">
        <x:v>49.5</x:v>
      </x:c>
      <x:c r="G19" s="34" t="n">
        <x:v>99.5</x:v>
      </x:c>
      <x:c r="H19" s="34" t="str">
        <x:v>&lt;=49</x:v>
      </x:c>
      <x:c r="I19" s="34" t="n">
        <x:v>0</x:v>
      </x:c>
      <x:c r="J19" s="34" t="n">
        <x:v>49.5</x:v>
      </x:c>
      <x:c r="K19" s="34" t="n">
        <x:v>1.03</x:v>
      </x:c>
      <x:c r="L19" s="34" t="n">
        <x:v>0.84</x:v>
      </x:c>
      <x:c r="M19" s="34" t="n">
        <x:v>1.26</x:v>
      </x:c>
      <x:c r="N19" s="34" t="n">
        <x:f>XLOOKUP(D19,'Country Distributions'!$A$2:$A$10,'Country Distributions'!$C$2:$C$10)</x:f>
        <x:v>84</x:v>
      </x:c>
      <x:c r="O19" s="34" t="n">
        <x:f>XLOOKUP(D19,'Country Distributions'!$A$2:$A$10,'Country Distributions'!$D$2:$D$10)</x:f>
        <x:v>2.1</x:v>
      </x:c>
      <x:c r="P19" s="34" t="n">
        <x:f>LN(K19)</x:f>
        <x:v>0.02955880224154443</x:v>
      </x:c>
      <x:c r="Q19" s="34" t="n">
        <x:f>(LN(M19)-LN(L19))/3.92</x:f>
        <x:v>0.10343497655820522</x:v>
      </x:c>
      <x:c r="R19" s="34" t="n">
        <x:f>$N19*EXP(LN($O19)^2/2)*(IF(G19="",1,NORM.S.DIST((LN(G19)-LN($N19)-LN($O19)^2)/LN($O19),TRUE))-IF(F19=0,0,NORM.S.DIST((LN(F19)-LN($N19)-LN($O19)^2)/LN($O19),TRUE)))/(IF(G19="",1,NORM.S.DIST((LN(G19)-LN($N19))/LN($O19),TRUE))-IF(F19=0,0,NORM.S.DIST((LN(F19)-LN($N19))/LN($O19),TRUE)))</x:f>
        <x:v>72.48861592612776</x:v>
      </x:c>
      <x:c r="S19" s="34" t="n">
        <x:f>$N19*EXP(LN($O19)^2/2)*(IF(J19="",1,NORM.S.DIST((LN(J19)-LN($N19)-LN($O19)^2)/LN($O19),TRUE))-IF(I19=0,0,NORM.S.DIST((LN(I19)-LN($N19)-LN($O19)^2)/LN($O19),TRUE)))/(IF(J19="",1,NORM.S.DIST((LN(J19)-LN($N19))/LN($O19),TRUE))-IF(I19=0,0,NORM.S.DIST((LN(I19)-LN($N19))/LN($O19),TRUE)))</x:f>
        <x:v>33.87046750424313</x:v>
      </x:c>
      <x:c r="T19" s="34" t="n">
        <x:f>R19-S19</x:f>
        <x:v>38.618148421884634</x:v>
      </x:c>
      <x:c r="U19" s="34" t="n">
        <x:f>IF(G19="",1.2*F19,(F19+G19)/2)</x:f>
        <x:v>74.5</x:v>
      </x:c>
      <x:c r="V19" s="34" t="n">
        <x:f>IF(J19="",1.2*I19,(I19+J19)/2)</x:f>
        <x:v>24.75</x:v>
      </x:c>
      <x:c r="W19" s="34" t="n">
        <x:f>U19-V19</x:f>
        <x:v>49.75</x:v>
      </x:c>
      <x:c r="X19" s="30" t="str">
        <x:v>https://www.scielosp.org/pdf/bwho/2003.v81n10/732-738/en</x:v>
      </x:c>
      <x:c r="Y19" s="30" t="str"/>
    </x:row>
    <x:row r="20" ht="15" hidden="0" customHeight="1">
      <x:c r="A20" s="30" t="str">
        <x:v>Auvinen1996</x:v>
      </x:c>
      <x:c r="B20" s="30" t="str">
        <x:v>Auvinen et al.</x:v>
      </x:c>
      <x:c r="C20" s="30" t="n">
        <x:v>1996</x:v>
      </x:c>
      <x:c r="D20" s="30" t="str">
        <x:v>Finland</x:v>
      </x:c>
      <x:c r="E20" s="30" t="str">
        <x:v>100-199</x:v>
      </x:c>
      <x:c r="F20" s="34" t="n">
        <x:v>99.5</x:v>
      </x:c>
      <x:c r="G20" s="34" t="n">
        <x:v>199.5</x:v>
      </x:c>
      <x:c r="H20" s="34" t="str">
        <x:v>&lt;=49</x:v>
      </x:c>
      <x:c r="I20" s="34" t="n">
        <x:v>0</x:v>
      </x:c>
      <x:c r="J20" s="34" t="n">
        <x:v>49.5</x:v>
      </x:c>
      <x:c r="K20" s="34" t="n">
        <x:v>1</x:v>
      </x:c>
      <x:c r="L20" s="34" t="n">
        <x:v>0.78</x:v>
      </x:c>
      <x:c r="M20" s="34" t="n">
        <x:v>1.29</x:v>
      </x:c>
      <x:c r="N20" s="34" t="n">
        <x:f>XLOOKUP(D20,'Country Distributions'!$A$2:$A$10,'Country Distributions'!$C$2:$C$10)</x:f>
        <x:v>84</x:v>
      </x:c>
      <x:c r="O20" s="34" t="n">
        <x:f>XLOOKUP(D20,'Country Distributions'!$A$2:$A$10,'Country Distributions'!$D$2:$D$10)</x:f>
        <x:v>2.1</x:v>
      </x:c>
      <x:c r="P20" s="34" t="n">
        <x:f>LN(K20)</x:f>
        <x:v>0</x:v>
      </x:c>
      <x:c r="Q20" s="34" t="n">
        <x:f>(LN(M20)-LN(L20))/3.92</x:f>
        <x:v>0.12834274940614296</x:v>
      </x:c>
      <x:c r="R20" s="34" t="n">
        <x:f>$N20*EXP(LN($O20)^2/2)*(IF(G20="",1,NORM.S.DIST((LN(G20)-LN($N20)-LN($O20)^2)/LN($O20),TRUE))-IF(F20=0,0,NORM.S.DIST((LN(F20)-LN($N20)-LN($O20)^2)/LN($O20),TRUE)))/(IF(G20="",1,NORM.S.DIST((LN(G20)-LN($N20))/LN($O20),TRUE))-IF(F20=0,0,NORM.S.DIST((LN(F20)-LN($N20))/LN($O20),TRUE)))</x:f>
        <x:v>138.4948759803647</x:v>
      </x:c>
      <x:c r="S20" s="34" t="n">
        <x:f>$N20*EXP(LN($O20)^2/2)*(IF(J20="",1,NORM.S.DIST((LN(J20)-LN($N20)-LN($O20)^2)/LN($O20),TRUE))-IF(I20=0,0,NORM.S.DIST((LN(I20)-LN($N20)-LN($O20)^2)/LN($O20),TRUE)))/(IF(J20="",1,NORM.S.DIST((LN(J20)-LN($N20))/LN($O20),TRUE))-IF(I20=0,0,NORM.S.DIST((LN(I20)-LN($N20))/LN($O20),TRUE)))</x:f>
        <x:v>33.87046750424313</x:v>
      </x:c>
      <x:c r="T20" s="34" t="n">
        <x:f>R20-S20</x:f>
        <x:v>104.62440847612157</x:v>
      </x:c>
      <x:c r="U20" s="34" t="n">
        <x:f>IF(G20="",1.2*F20,(F20+G20)/2)</x:f>
        <x:v>149.5</x:v>
      </x:c>
      <x:c r="V20" s="34" t="n">
        <x:f>IF(J20="",1.2*I20,(I20+J20)/2)</x:f>
        <x:v>24.75</x:v>
      </x:c>
      <x:c r="W20" s="34" t="n">
        <x:f>U20-V20</x:f>
        <x:v>124.75</x:v>
      </x:c>
      <x:c r="X20" s="30" t="str">
        <x:v>https://www.scielosp.org/pdf/bwho/2003.v81n10/732-738/en</x:v>
      </x:c>
      <x:c r="Y20" s="30" t="str"/>
    </x:row>
    <x:row r="21" ht="15" hidden="0" customHeight="1">
      <x:c r="A21" s="30" t="str">
        <x:v>Auvinen1996</x:v>
      </x:c>
      <x:c r="B21" s="30" t="str">
        <x:v>Auvinen et al.</x:v>
      </x:c>
      <x:c r="C21" s="30" t="n">
        <x:v>1996</x:v>
      </x:c>
      <x:c r="D21" s="30" t="str">
        <x:v>Finland</x:v>
      </x:c>
      <x:c r="E21" s="30" t="str">
        <x:v>200-399</x:v>
      </x:c>
      <x:c r="F21" s="34" t="n">
        <x:v>199.5</x:v>
      </x:c>
      <x:c r="G21" s="34" t="n">
        <x:v>399.5</x:v>
      </x:c>
      <x:c r="H21" s="34" t="str">
        <x:v>&lt;=49</x:v>
      </x:c>
      <x:c r="I21" s="34" t="n">
        <x:v>0</x:v>
      </x:c>
      <x:c r="J21" s="34" t="n">
        <x:v>49.5</x:v>
      </x:c>
      <x:c r="K21" s="34" t="n">
        <x:v>0.91</x:v>
      </x:c>
      <x:c r="L21" s="34" t="n">
        <x:v>0.61</x:v>
      </x:c>
      <x:c r="M21" s="34" t="n">
        <x:v>1.35</x:v>
      </x:c>
      <x:c r="N21" s="34" t="n">
        <x:f>XLOOKUP(D21,'Country Distributions'!$A$2:$A$10,'Country Distributions'!$C$2:$C$10)</x:f>
        <x:v>84</x:v>
      </x:c>
      <x:c r="O21" s="34" t="n">
        <x:f>XLOOKUP(D21,'Country Distributions'!$A$2:$A$10,'Country Distributions'!$D$2:$D$10)</x:f>
        <x:v>2.1</x:v>
      </x:c>
      <x:c r="P21" s="34" t="n">
        <x:f>LN(K21)</x:f>
        <x:v>-0.09431067947124129</x:v>
      </x:c>
      <x:c r="Q21" s="34" t="n">
        <x:f>(LN(M21)-LN(L21))/3.92</x:f>
        <x:v>0.20265329445538732</x:v>
      </x:c>
      <x:c r="R21" s="34" t="n">
        <x:f>$N21*EXP(LN($O21)^2/2)*(IF(G21="",1,NORM.S.DIST((LN(G21)-LN($N21)-LN($O21)^2)/LN($O21),TRUE))-IF(F21=0,0,NORM.S.DIST((LN(F21)-LN($N21)-LN($O21)^2)/LN($O21),TRUE)))/(IF(G21="",1,NORM.S.DIST((LN(G21)-LN($N21))/LN($O21),TRUE))-IF(F21=0,0,NORM.S.DIST((LN(F21)-LN($N21))/LN($O21),TRUE)))</x:f>
        <x:v>264.57571317429694</x:v>
      </x:c>
      <x:c r="S21" s="34" t="n">
        <x:f>$N21*EXP(LN($O21)^2/2)*(IF(J21="",1,NORM.S.DIST((LN(J21)-LN($N21)-LN($O21)^2)/LN($O21),TRUE))-IF(I21=0,0,NORM.S.DIST((LN(I21)-LN($N21)-LN($O21)^2)/LN($O21),TRUE)))/(IF(J21="",1,NORM.S.DIST((LN(J21)-LN($N21))/LN($O21),TRUE))-IF(I21=0,0,NORM.S.DIST((LN(I21)-LN($N21))/LN($O21),TRUE)))</x:f>
        <x:v>33.87046750424313</x:v>
      </x:c>
      <x:c r="T21" s="34" t="n">
        <x:f>R21-S21</x:f>
        <x:v>230.7052456700538</x:v>
      </x:c>
      <x:c r="U21" s="34" t="n">
        <x:f>IF(G21="",1.2*F21,(F21+G21)/2)</x:f>
        <x:v>299.5</x:v>
      </x:c>
      <x:c r="V21" s="34" t="n">
        <x:f>IF(J21="",1.2*I21,(I21+J21)/2)</x:f>
        <x:v>24.75</x:v>
      </x:c>
      <x:c r="W21" s="34" t="n">
        <x:f>U21-V21</x:f>
        <x:v>274.75</x:v>
      </x:c>
      <x:c r="X21" s="30" t="str">
        <x:v>https://www.scielosp.org/pdf/bwho/2003.v81n10/732-738/en</x:v>
      </x:c>
      <x:c r="Y21" s="30" t="str"/>
    </x:row>
    <x:row r="22" ht="15" hidden="0" customHeight="1">
      <x:c r="A22" s="30" t="str">
        <x:v>Auvinen1996</x:v>
      </x:c>
      <x:c r="B22" s="30" t="str">
        <x:v>Auvinen et al.</x:v>
      </x:c>
      <x:c r="C22" s="30" t="n">
        <x:v>1996</x:v>
      </x:c>
      <x:c r="D22" s="30" t="str">
        <x:v>Finland</x:v>
      </x:c>
      <x:c r="E22" s="30" t="str">
        <x:v>400-1277</x:v>
      </x:c>
      <x:c r="F22" s="34" t="n">
        <x:v>399.5</x:v>
      </x:c>
      <x:c r="G22" s="34" t="n">
        <x:v>1277.5</x:v>
      </x:c>
      <x:c r="H22" s="34" t="str">
        <x:v>&lt;=49</x:v>
      </x:c>
      <x:c r="I22" s="34" t="n">
        <x:v>0</x:v>
      </x:c>
      <x:c r="J22" s="34" t="n">
        <x:v>49.5</x:v>
      </x:c>
      <x:c r="K22" s="34" t="n">
        <x:v>1.15</x:v>
      </x:c>
      <x:c r="L22" s="34" t="n">
        <x:v>0.69</x:v>
      </x:c>
      <x:c r="M22" s="34" t="n">
        <x:v>1.93</x:v>
      </x:c>
      <x:c r="N22" s="34" t="n">
        <x:f>XLOOKUP(D22,'Country Distributions'!$A$2:$A$10,'Country Distributions'!$C$2:$C$10)</x:f>
        <x:v>84</x:v>
      </x:c>
      <x:c r="O22" s="34" t="n">
        <x:f>XLOOKUP(D22,'Country Distributions'!$A$2:$A$10,'Country Distributions'!$D$2:$D$10)</x:f>
        <x:v>2.1</x:v>
      </x:c>
      <x:c r="P22" s="34" t="n">
        <x:f>LN(K22)</x:f>
        <x:v>0.13976194237515863</x:v>
      </x:c>
      <x:c r="Q22" s="34" t="n">
        <x:f>(LN(M22)-LN(L22))/3.92</x:f>
        <x:v>0.2623937970172516</x:v>
      </x:c>
      <x:c r="R22" s="34" t="n">
        <x:f>$N22*EXP(LN($O22)^2/2)*(IF(G22="",1,NORM.S.DIST((LN(G22)-LN($N22)-LN($O22)^2)/LN($O22),TRUE))-IF(F22=0,0,NORM.S.DIST((LN(F22)-LN($N22)-LN($O22)^2)/LN($O22),TRUE)))/(IF(G22="",1,NORM.S.DIST((LN(G22)-LN($N22))/LN($O22),TRUE))-IF(F22=0,0,NORM.S.DIST((LN(F22)-LN($N22))/LN($O22),TRUE)))</x:f>
        <x:v>533.6954563550437</x:v>
      </x:c>
      <x:c r="S22" s="34" t="n">
        <x:f>$N22*EXP(LN($O22)^2/2)*(IF(J22="",1,NORM.S.DIST((LN(J22)-LN($N22)-LN($O22)^2)/LN($O22),TRUE))-IF(I22=0,0,NORM.S.DIST((LN(I22)-LN($N22)-LN($O22)^2)/LN($O22),TRUE)))/(IF(J22="",1,NORM.S.DIST((LN(J22)-LN($N22))/LN($O22),TRUE))-IF(I22=0,0,NORM.S.DIST((LN(I22)-LN($N22))/LN($O22),TRUE)))</x:f>
        <x:v>33.87046750424313</x:v>
      </x:c>
      <x:c r="T22" s="34" t="n">
        <x:f>R22-S22</x:f>
        <x:v>499.82498885080054</x:v>
      </x:c>
      <x:c r="U22" s="34" t="n">
        <x:f>IF(G22="",1.2*F22,(F22+G22)/2)</x:f>
        <x:v>838.5</x:v>
      </x:c>
      <x:c r="V22" s="34" t="n">
        <x:f>IF(J22="",1.2*I22,(I22+J22)/2)</x:f>
        <x:v>24.75</x:v>
      </x:c>
      <x:c r="W22" s="34" t="n">
        <x:f>U22-V22</x:f>
        <x:v>813.75</x:v>
      </x:c>
      <x:c r="X22" s="30" t="str">
        <x:v>https://www.scielosp.org/pdf/bwho/2003.v81n10/732-738/en</x:v>
      </x:c>
      <x:c r="Y22" s="30" t="str"/>
    </x:row>
    <x:row r="23" ht="15" hidden="0" customHeight="1">
      <x:c r="A23" s="30" t="str">
        <x:v>Ruosteenoja1996</x:v>
      </x:c>
      <x:c r="B23" s="30" t="str">
        <x:v>Ruosteenoja et al.</x:v>
      </x:c>
      <x:c r="C23" s="30" t="n">
        <x:v>1996</x:v>
      </x:c>
      <x:c r="D23" s="30" t="str">
        <x:v>Finland</x:v>
      </x:c>
      <x:c r="E23" s="30" t="str">
        <x:v>96-186</x:v>
      </x:c>
      <x:c r="F23" s="34" t="n">
        <x:v>95.5</x:v>
      </x:c>
      <x:c r="G23" s="34" t="n">
        <x:v>186.5</x:v>
      </x:c>
      <x:c r="H23" s="34" t="str">
        <x:v>&lt;=95</x:v>
      </x:c>
      <x:c r="I23" s="34" t="n">
        <x:v>0</x:v>
      </x:c>
      <x:c r="J23" s="34" t="n">
        <x:v>95.5</x:v>
      </x:c>
      <x:c r="K23" s="34" t="n">
        <x:v>1.8</x:v>
      </x:c>
      <x:c r="L23" s="34" t="n">
        <x:v>0.9</x:v>
      </x:c>
      <x:c r="M23" s="34" t="n">
        <x:v>3.5</x:v>
      </x:c>
      <x:c r="N23" s="34" t="n">
        <x:f>XLOOKUP(D23,'Country Distributions'!$A$2:$A$10,'Country Distributions'!$C$2:$C$10)</x:f>
        <x:v>84</x:v>
      </x:c>
      <x:c r="O23" s="34" t="n">
        <x:f>XLOOKUP(D23,'Country Distributions'!$A$2:$A$10,'Country Distributions'!$D$2:$D$10)</x:f>
        <x:v>2.1</x:v>
      </x:c>
      <x:c r="P23" s="34" t="n">
        <x:f>LN(K23)</x:f>
        <x:v>0.5877866649021191</x:v>
      </x:c>
      <x:c r="Q23" s="34" t="n">
        <x:f>(LN(M23)-LN(L23))/3.92</x:f>
        <x:v>0.3464600724880598</x:v>
      </x:c>
      <x:c r="R23" s="34" t="n">
        <x:f>$N23*EXP(LN($O23)^2/2)*(IF(G23="",1,NORM.S.DIST((LN(G23)-LN($N23)-LN($O23)^2)/LN($O23),TRUE))-IF(F23=0,0,NORM.S.DIST((LN(F23)-LN($N23)-LN($O23)^2)/LN($O23),TRUE)))/(IF(G23="",1,NORM.S.DIST((LN(G23)-LN($N23))/LN($O23),TRUE))-IF(F23=0,0,NORM.S.DIST((LN(F23)-LN($N23))/LN($O23),TRUE)))</x:f>
        <x:v>131.81795992490476</x:v>
      </x:c>
      <x:c r="S23" s="34" t="n">
        <x:f>$N23*EXP(LN($O23)^2/2)*(IF(J23="",1,NORM.S.DIST((LN(J23)-LN($N23)-LN($O23)^2)/LN($O23),TRUE))-IF(I23=0,0,NORM.S.DIST((LN(I23)-LN($N23)-LN($O23)^2)/LN($O23),TRUE)))/(IF(J23="",1,NORM.S.DIST((LN(J23)-LN($N23))/LN($O23),TRUE))-IF(I23=0,0,NORM.S.DIST((LN(I23)-LN($N23))/LN($O23),TRUE)))</x:f>
        <x:v>55.376053922960914</x:v>
      </x:c>
      <x:c r="T23" s="34" t="n">
        <x:f>R23-S23</x:f>
        <x:v>76.44190600194383</x:v>
      </x:c>
      <x:c r="U23" s="34" t="n">
        <x:f>IF(G23="",1.2*F23,(F23+G23)/2)</x:f>
        <x:v>141</x:v>
      </x:c>
      <x:c r="V23" s="34" t="n">
        <x:f>IF(J23="",1.2*I23,(I23+J23)/2)</x:f>
        <x:v>47.75</x:v>
      </x:c>
      <x:c r="W23" s="34" t="n">
        <x:f>U23-V23</x:f>
        <x:v>93.25</x:v>
      </x:c>
      <x:c r="X23" s="30" t="str">
        <x:v>https://www.scielosp.org/pdf/bwho/2003.v81n10/732-738/en</x:v>
      </x:c>
      <x:c r="Y23" s="30" t="str"/>
    </x:row>
    <x:row r="24" ht="15" hidden="0" customHeight="1">
      <x:c r="A24" s="30" t="str">
        <x:v>Ruosteenoja1996</x:v>
      </x:c>
      <x:c r="B24" s="30" t="str">
        <x:v>Ruosteenoja et al.</x:v>
      </x:c>
      <x:c r="C24" s="30" t="n">
        <x:v>1996</x:v>
      </x:c>
      <x:c r="D24" s="30" t="str">
        <x:v>Finland</x:v>
      </x:c>
      <x:c r="E24" s="30" t="str">
        <x:v>&gt;=187</x:v>
      </x:c>
      <x:c r="F24" s="34" t="n">
        <x:v>186.5</x:v>
      </x:c>
      <x:c r="G24" s="34"/>
      <x:c r="H24" s="34" t="str">
        <x:v>&lt;=95</x:v>
      </x:c>
      <x:c r="I24" s="34" t="n">
        <x:v>0</x:v>
      </x:c>
      <x:c r="J24" s="34" t="n">
        <x:v>95.5</x:v>
      </x:c>
      <x:c r="K24" s="34" t="n">
        <x:v>1.5</x:v>
      </x:c>
      <x:c r="L24" s="34" t="n">
        <x:v>0.8</x:v>
      </x:c>
      <x:c r="M24" s="34" t="n">
        <x:v>2.9</x:v>
      </x:c>
      <x:c r="N24" s="34" t="n">
        <x:f>XLOOKUP(D24,'Country Distributions'!$A$2:$A$10,'Country Distributions'!$C$2:$C$10)</x:f>
        <x:v>84</x:v>
      </x:c>
      <x:c r="O24" s="34" t="n">
        <x:f>XLOOKUP(D24,'Country Distributions'!$A$2:$A$10,'Country Distributions'!$D$2:$D$10)</x:f>
        <x:v>2.1</x:v>
      </x:c>
      <x:c r="P24" s="34" t="n">
        <x:f>LN(K24)</x:f>
        <x:v>0.4054651081081644</x:v>
      </x:c>
      <x:c r="Q24" s="34" t="n">
        <x:f>(LN(M24)-LN(L24))/3.92</x:f>
        <x:v>0.3285342572210811</x:v>
      </x:c>
      <x:c r="R24" s="34" t="n">
        <x:f>$N24*EXP(LN($O24)^2/2)*(IF(G24="",1,NORM.S.DIST((LN(G24)-LN($N24)-LN($O24)^2)/LN($O24),TRUE))-IF(F24=0,0,NORM.S.DIST((LN(F24)-LN($N24)-LN($O24)^2)/LN($O24),TRUE)))/(IF(G24="",1,NORM.S.DIST((LN(G24)-LN($N24))/LN($O24),TRUE))-IF(F24=0,0,NORM.S.DIST((LN(F24)-LN($N24))/LN($O24),TRUE)))</x:f>
        <x:v>289.5294739446862</x:v>
      </x:c>
      <x:c r="S24" s="34" t="n">
        <x:f>$N24*EXP(LN($O24)^2/2)*(IF(J24="",1,NORM.S.DIST((LN(J24)-LN($N24)-LN($O24)^2)/LN($O24),TRUE))-IF(I24=0,0,NORM.S.DIST((LN(I24)-LN($N24)-LN($O24)^2)/LN($O24),TRUE)))/(IF(J24="",1,NORM.S.DIST((LN(J24)-LN($N24))/LN($O24),TRUE))-IF(I24=0,0,NORM.S.DIST((LN(I24)-LN($N24))/LN($O24),TRUE)))</x:f>
        <x:v>55.376053922960914</x:v>
      </x:c>
      <x:c r="T24" s="34" t="n">
        <x:f>R24-S24</x:f>
        <x:v>234.15342002172525</x:v>
      </x:c>
      <x:c r="U24" s="34" t="n">
        <x:f>IF(G24="",1.2*F24,(F24+G24)/2)</x:f>
        <x:v>223.79999999999998</x:v>
      </x:c>
      <x:c r="V24" s="34" t="n">
        <x:f>IF(J24="",1.2*I24,(I24+J24)/2)</x:f>
        <x:v>47.75</x:v>
      </x:c>
      <x:c r="W24" s="34" t="n">
        <x:f>U24-V24</x:f>
        <x:v>176.04999999999998</x:v>
      </x:c>
      <x:c r="X24" s="30" t="str">
        <x:v>https://www.scielosp.org/pdf/bwho/2003.v81n10/732-738/en</x:v>
      </x:c>
      <x:c r="Y24" s="30" t="str">
        <x:v>Right-unbounded comparison support</x:v>
      </x:c>
    </x:row>
    <x:row r="25" ht="15" hidden="0" customHeight="1">
      <x:c r="A25" s="30" t="str">
        <x:v>Darby1998</x:v>
      </x:c>
      <x:c r="B25" s="30" t="str">
        <x:v>Darby et al.</x:v>
      </x:c>
      <x:c r="C25" s="30" t="n">
        <x:v>1998</x:v>
      </x:c>
      <x:c r="D25" s="30" t="str">
        <x:v>UK</x:v>
      </x:c>
      <x:c r="E25" s="30" t="str">
        <x:v>25-49</x:v>
      </x:c>
      <x:c r="F25" s="34" t="n">
        <x:v>24.5</x:v>
      </x:c>
      <x:c r="G25" s="34" t="n">
        <x:v>49.5</x:v>
      </x:c>
      <x:c r="H25" s="34" t="str">
        <x:v>&lt;25</x:v>
      </x:c>
      <x:c r="I25" s="34" t="n">
        <x:v>0</x:v>
      </x:c>
      <x:c r="J25" s="34" t="n">
        <x:v>24.5</x:v>
      </x:c>
      <x:c r="K25" s="34" t="n">
        <x:v>1.06</x:v>
      </x:c>
      <x:c r="L25" s="34" t="n">
        <x:v>0.88</x:v>
      </x:c>
      <x:c r="M25" s="34" t="n">
        <x:v>1.29</x:v>
      </x:c>
      <x:c r="N25" s="34" t="n">
        <x:f>XLOOKUP(D25,'Country Distributions'!$A$2:$A$10,'Country Distributions'!$C$2:$C$10)</x:f>
        <x:v>14</x:v>
      </x:c>
      <x:c r="O25" s="34" t="n">
        <x:f>XLOOKUP(D25,'Country Distributions'!$A$2:$A$10,'Country Distributions'!$D$2:$D$10)</x:f>
        <x:v>3.2</x:v>
      </x:c>
      <x:c r="P25" s="34" t="n">
        <x:f>LN(K25)</x:f>
        <x:v>0.058268908123975824</x:v>
      </x:c>
      <x:c r="Q25" s="34" t="n">
        <x:f>(LN(M25)-LN(L25))/3.92</x:f>
        <x:v>0.09757030354170042</x:v>
      </x:c>
      <x:c r="R25" s="34" t="n">
        <x:f>$N25*EXP(LN($O25)^2/2)*(IF(G25="",1,NORM.S.DIST((LN(G25)-LN($N25)-LN($O25)^2)/LN($O25),TRUE))-IF(F25=0,0,NORM.S.DIST((LN(F25)-LN($N25)-LN($O25)^2)/LN($O25),TRUE)))/(IF(G25="",1,NORM.S.DIST((LN(G25)-LN($N25))/LN($O25),TRUE))-IF(F25=0,0,NORM.S.DIST((LN(F25)-LN($N25))/LN($O25),TRUE)))</x:f>
        <x:v>34.579872802560466</x:v>
      </x:c>
      <x:c r="S25" s="34" t="n">
        <x:f>$N25*EXP(LN($O25)^2/2)*(IF(J25="",1,NORM.S.DIST((LN(J25)-LN($N25)-LN($O25)^2)/LN($O25),TRUE))-IF(I25=0,0,NORM.S.DIST((LN(I25)-LN($N25)-LN($O25)^2)/LN($O25),TRUE)))/(IF(J25="",1,NORM.S.DIST((LN(J25)-LN($N25))/LN($O25),TRUE))-IF(I25=0,0,NORM.S.DIST((LN(I25)-LN($N25))/LN($O25),TRUE)))</x:f>
        <x:v>9.956917063656881</x:v>
      </x:c>
      <x:c r="T25" s="34" t="n">
        <x:f>R25-S25</x:f>
        <x:v>24.622955738903585</x:v>
      </x:c>
      <x:c r="U25" s="34" t="n">
        <x:f>IF(G25="",1.2*F25,(F25+G25)/2)</x:f>
        <x:v>37</x:v>
      </x:c>
      <x:c r="V25" s="34" t="n">
        <x:f>IF(J25="",1.2*I25,(I25+J25)/2)</x:f>
        <x:v>12.25</x:v>
      </x:c>
      <x:c r="W25" s="34" t="n">
        <x:f>U25-V25</x:f>
        <x:v>24.75</x:v>
      </x:c>
      <x:c r="X25" s="30" t="str">
        <x:v>https://www.scielosp.org/pdf/bwho/2003.v81n10/732-738/en</x:v>
      </x:c>
      <x:c r="Y25" s="30" t="str"/>
    </x:row>
    <x:row r="26" ht="15" hidden="0" customHeight="1">
      <x:c r="A26" s="30" t="str">
        <x:v>Darby1998</x:v>
      </x:c>
      <x:c r="B26" s="30" t="str">
        <x:v>Darby et al.</x:v>
      </x:c>
      <x:c r="C26" s="30" t="n">
        <x:v>1998</x:v>
      </x:c>
      <x:c r="D26" s="30" t="str">
        <x:v>UK</x:v>
      </x:c>
      <x:c r="E26" s="30" t="str">
        <x:v>50-99</x:v>
      </x:c>
      <x:c r="F26" s="34" t="n">
        <x:v>49.5</x:v>
      </x:c>
      <x:c r="G26" s="34" t="n">
        <x:v>99.5</x:v>
      </x:c>
      <x:c r="H26" s="34" t="str">
        <x:v>&lt;25</x:v>
      </x:c>
      <x:c r="I26" s="34" t="n">
        <x:v>0</x:v>
      </x:c>
      <x:c r="J26" s="34" t="n">
        <x:v>24.5</x:v>
      </x:c>
      <x:c r="K26" s="34" t="n">
        <x:v>1.13</x:v>
      </x:c>
      <x:c r="L26" s="34" t="n">
        <x:v>0.89</x:v>
      </x:c>
      <x:c r="M26" s="34" t="n">
        <x:v>1.44</x:v>
      </x:c>
      <x:c r="N26" s="34" t="n">
        <x:f>XLOOKUP(D26,'Country Distributions'!$A$2:$A$10,'Country Distributions'!$C$2:$C$10)</x:f>
        <x:v>14</x:v>
      </x:c>
      <x:c r="O26" s="34" t="n">
        <x:f>XLOOKUP(D26,'Country Distributions'!$A$2:$A$10,'Country Distributions'!$D$2:$D$10)</x:f>
        <x:v>3.2</x:v>
      </x:c>
      <x:c r="P26" s="34" t="n">
        <x:f>LN(K26)</x:f>
        <x:v>0.12221763272424911</x:v>
      </x:c>
      <x:c r="Q26" s="34" t="n">
        <x:f>(LN(M26)-LN(L26))/3.92</x:f>
        <x:v>0.12274921679690325</x:v>
      </x:c>
      <x:c r="R26" s="34" t="n">
        <x:f>$N26*EXP(LN($O26)^2/2)*(IF(G26="",1,NORM.S.DIST((LN(G26)-LN($N26)-LN($O26)^2)/LN($O26),TRUE))-IF(F26=0,0,NORM.S.DIST((LN(F26)-LN($N26)-LN($O26)^2)/LN($O26),TRUE)))/(IF(G26="",1,NORM.S.DIST((LN(G26)-LN($N26))/LN($O26),TRUE))-IF(F26=0,0,NORM.S.DIST((LN(F26)-LN($N26))/LN($O26),TRUE)))</x:f>
        <x:v>68.26995583830455</x:v>
      </x:c>
      <x:c r="S26" s="34" t="n">
        <x:f>$N26*EXP(LN($O26)^2/2)*(IF(J26="",1,NORM.S.DIST((LN(J26)-LN($N26)-LN($O26)^2)/LN($O26),TRUE))-IF(I26=0,0,NORM.S.DIST((LN(I26)-LN($N26)-LN($O26)^2)/LN($O26),TRUE)))/(IF(J26="",1,NORM.S.DIST((LN(J26)-LN($N26))/LN($O26),TRUE))-IF(I26=0,0,NORM.S.DIST((LN(I26)-LN($N26))/LN($O26),TRUE)))</x:f>
        <x:v>9.956917063656881</x:v>
      </x:c>
      <x:c r="T26" s="34" t="n">
        <x:f>R26-S26</x:f>
        <x:v>58.31303877464767</x:v>
      </x:c>
      <x:c r="U26" s="34" t="n">
        <x:f>IF(G26="",1.2*F26,(F26+G26)/2)</x:f>
        <x:v>74.5</x:v>
      </x:c>
      <x:c r="V26" s="34" t="n">
        <x:f>IF(J26="",1.2*I26,(I26+J26)/2)</x:f>
        <x:v>12.25</x:v>
      </x:c>
      <x:c r="W26" s="34" t="n">
        <x:f>U26-V26</x:f>
        <x:v>62.25</x:v>
      </x:c>
      <x:c r="X26" s="30" t="str">
        <x:v>https://www.scielosp.org/pdf/bwho/2003.v81n10/732-738/en</x:v>
      </x:c>
      <x:c r="Y26" s="30" t="str"/>
    </x:row>
    <x:row r="27" ht="15" hidden="0" customHeight="1">
      <x:c r="A27" s="30" t="str">
        <x:v>Darby1998</x:v>
      </x:c>
      <x:c r="B27" s="30" t="str">
        <x:v>Darby et al.</x:v>
      </x:c>
      <x:c r="C27" s="30" t="n">
        <x:v>1998</x:v>
      </x:c>
      <x:c r="D27" s="30" t="str">
        <x:v>UK</x:v>
      </x:c>
      <x:c r="E27" s="30" t="str">
        <x:v>100-199</x:v>
      </x:c>
      <x:c r="F27" s="34" t="n">
        <x:v>99.5</x:v>
      </x:c>
      <x:c r="G27" s="34" t="n">
        <x:v>199.5</x:v>
      </x:c>
      <x:c r="H27" s="34" t="str">
        <x:v>&lt;25</x:v>
      </x:c>
      <x:c r="I27" s="34" t="n">
        <x:v>0</x:v>
      </x:c>
      <x:c r="J27" s="34" t="n">
        <x:v>24.5</x:v>
      </x:c>
      <x:c r="K27" s="34" t="n">
        <x:v>1.29</x:v>
      </x:c>
      <x:c r="L27" s="34" t="n">
        <x:v>0.79</x:v>
      </x:c>
      <x:c r="M27" s="34" t="n">
        <x:v>2.12</x:v>
      </x:c>
      <x:c r="N27" s="34" t="n">
        <x:f>XLOOKUP(D27,'Country Distributions'!$A$2:$A$10,'Country Distributions'!$C$2:$C$10)</x:f>
        <x:v>14</x:v>
      </x:c>
      <x:c r="O27" s="34" t="n">
        <x:f>XLOOKUP(D27,'Country Distributions'!$A$2:$A$10,'Country Distributions'!$D$2:$D$10)</x:f>
        <x:v>3.2</x:v>
      </x:c>
      <x:c r="P27" s="34" t="n">
        <x:f>LN(K27)</x:f>
        <x:v>0.25464221837358075</x:v>
      </x:c>
      <x:c r="Q27" s="34" t="n">
        <x:f>(LN(M27)-LN(L27))/3.92</x:f>
        <x:v>0.2518210260727018</x:v>
      </x:c>
      <x:c r="R27" s="34" t="n">
        <x:f>$N27*EXP(LN($O27)^2/2)*(IF(G27="",1,NORM.S.DIST((LN(G27)-LN($N27)-LN($O27)^2)/LN($O27),TRUE))-IF(F27=0,0,NORM.S.DIST((LN(F27)-LN($N27)-LN($O27)^2)/LN($O27),TRUE)))/(IF(G27="",1,NORM.S.DIST((LN(G27)-LN($N27))/LN($O27),TRUE))-IF(F27=0,0,NORM.S.DIST((LN(F27)-LN($N27))/LN($O27),TRUE)))</x:f>
        <x:v>134.3617089852349</x:v>
      </x:c>
      <x:c r="S27" s="34" t="n">
        <x:f>$N27*EXP(LN($O27)^2/2)*(IF(J27="",1,NORM.S.DIST((LN(J27)-LN($N27)-LN($O27)^2)/LN($O27),TRUE))-IF(I27=0,0,NORM.S.DIST((LN(I27)-LN($N27)-LN($O27)^2)/LN($O27),TRUE)))/(IF(J27="",1,NORM.S.DIST((LN(J27)-LN($N27))/LN($O27),TRUE))-IF(I27=0,0,NORM.S.DIST((LN(I27)-LN($N27))/LN($O27),TRUE)))</x:f>
        <x:v>9.956917063656881</x:v>
      </x:c>
      <x:c r="T27" s="34" t="n">
        <x:f>R27-S27</x:f>
        <x:v>124.40479192157804</x:v>
      </x:c>
      <x:c r="U27" s="34" t="n">
        <x:f>IF(G27="",1.2*F27,(F27+G27)/2)</x:f>
        <x:v>149.5</x:v>
      </x:c>
      <x:c r="V27" s="34" t="n">
        <x:f>IF(J27="",1.2*I27,(I27+J27)/2)</x:f>
        <x:v>12.25</x:v>
      </x:c>
      <x:c r="W27" s="34" t="n">
        <x:f>U27-V27</x:f>
        <x:v>137.25</x:v>
      </x:c>
      <x:c r="X27" s="30" t="str">
        <x:v>https://www.scielosp.org/pdf/bwho/2003.v81n10/732-738/en</x:v>
      </x:c>
      <x:c r="Y27" s="30" t="str"/>
    </x:row>
    <x:row r="28" ht="15" hidden="0" customHeight="1">
      <x:c r="A28" s="30" t="str">
        <x:v>Darby1998</x:v>
      </x:c>
      <x:c r="B28" s="30" t="str">
        <x:v>Darby et al.</x:v>
      </x:c>
      <x:c r="C28" s="30" t="n">
        <x:v>1998</x:v>
      </x:c>
      <x:c r="D28" s="30" t="str">
        <x:v>UK</x:v>
      </x:c>
      <x:c r="E28" s="30" t="str">
        <x:v>200-399</x:v>
      </x:c>
      <x:c r="F28" s="34" t="n">
        <x:v>199.5</x:v>
      </x:c>
      <x:c r="G28" s="34" t="n">
        <x:v>399.5</x:v>
      </x:c>
      <x:c r="H28" s="34" t="str">
        <x:v>&lt;25</x:v>
      </x:c>
      <x:c r="I28" s="34" t="n">
        <x:v>0</x:v>
      </x:c>
      <x:c r="J28" s="34" t="n">
        <x:v>24.5</x:v>
      </x:c>
      <x:c r="K28" s="34" t="n">
        <x:v>0.94</x:v>
      </x:c>
      <x:c r="L28" s="34" t="n">
        <x:v>0.68</x:v>
      </x:c>
      <x:c r="M28" s="34" t="n">
        <x:v>1.29</x:v>
      </x:c>
      <x:c r="N28" s="34" t="n">
        <x:f>XLOOKUP(D28,'Country Distributions'!$A$2:$A$10,'Country Distributions'!$C$2:$C$10)</x:f>
        <x:v>14</x:v>
      </x:c>
      <x:c r="O28" s="34" t="n">
        <x:f>XLOOKUP(D28,'Country Distributions'!$A$2:$A$10,'Country Distributions'!$D$2:$D$10)</x:f>
        <x:v>3.2</x:v>
      </x:c>
      <x:c r="P28" s="34" t="n">
        <x:f>LN(K28)</x:f>
        <x:v>-0.06187540371808753</x:v>
      </x:c>
      <x:c r="Q28" s="34" t="n">
        <x:f>(LN(M28)-LN(L28))/3.92</x:f>
        <x:v>0.16334303550652177</x:v>
      </x:c>
      <x:c r="R28" s="34" t="n">
        <x:f>$N28*EXP(LN($O28)^2/2)*(IF(G28="",1,NORM.S.DIST((LN(G28)-LN($N28)-LN($O28)^2)/LN($O28),TRUE))-IF(F28=0,0,NORM.S.DIST((LN(F28)-LN($N28)-LN($O28)^2)/LN($O28),TRUE)))/(IF(G28="",1,NORM.S.DIST((LN(G28)-LN($N28))/LN($O28),TRUE))-IF(F28=0,0,NORM.S.DIST((LN(F28)-LN($N28))/LN($O28),TRUE)))</x:f>
        <x:v>264.1089486314737</x:v>
      </x:c>
      <x:c r="S28" s="34" t="n">
        <x:f>$N28*EXP(LN($O28)^2/2)*(IF(J28="",1,NORM.S.DIST((LN(J28)-LN($N28)-LN($O28)^2)/LN($O28),TRUE))-IF(I28=0,0,NORM.S.DIST((LN(I28)-LN($N28)-LN($O28)^2)/LN($O28),TRUE)))/(IF(J28="",1,NORM.S.DIST((LN(J28)-LN($N28))/LN($O28),TRUE))-IF(I28=0,0,NORM.S.DIST((LN(I28)-LN($N28))/LN($O28),TRUE)))</x:f>
        <x:v>9.956917063656881</x:v>
      </x:c>
      <x:c r="T28" s="34" t="n">
        <x:f>R28-S28</x:f>
        <x:v>254.15203156781683</x:v>
      </x:c>
      <x:c r="U28" s="34" t="n">
        <x:f>IF(G28="",1.2*F28,(F28+G28)/2)</x:f>
        <x:v>299.5</x:v>
      </x:c>
      <x:c r="V28" s="34" t="n">
        <x:f>IF(J28="",1.2*I28,(I28+J28)/2)</x:f>
        <x:v>12.25</x:v>
      </x:c>
      <x:c r="W28" s="34" t="n">
        <x:f>U28-V28</x:f>
        <x:v>287.25</x:v>
      </x:c>
      <x:c r="X28" s="30" t="str">
        <x:v>https://www.scielosp.org/pdf/bwho/2003.v81n10/732-738/en</x:v>
      </x:c>
      <x:c r="Y28" s="30" t="str"/>
    </x:row>
    <x:row r="29" ht="15" hidden="0" customHeight="1">
      <x:c r="A29" s="30" t="str">
        <x:v>Darby1998</x:v>
      </x:c>
      <x:c r="B29" s="30" t="str">
        <x:v>Darby et al.</x:v>
      </x:c>
      <x:c r="C29" s="30" t="n">
        <x:v>1998</x:v>
      </x:c>
      <x:c r="D29" s="30" t="str">
        <x:v>UK</x:v>
      </x:c>
      <x:c r="E29" s="30" t="str">
        <x:v>&gt;=400</x:v>
      </x:c>
      <x:c r="F29" s="34" t="n">
        <x:v>399.5</x:v>
      </x:c>
      <x:c r="G29" s="34"/>
      <x:c r="H29" s="34" t="str">
        <x:v>&lt;25</x:v>
      </x:c>
      <x:c r="I29" s="34" t="n">
        <x:v>0</x:v>
      </x:c>
      <x:c r="J29" s="34" t="n">
        <x:v>24.5</x:v>
      </x:c>
      <x:c r="K29" s="34" t="n">
        <x:v>1.79</x:v>
      </x:c>
      <x:c r="L29" s="34" t="n">
        <x:v>0.74</x:v>
      </x:c>
      <x:c r="M29" s="34" t="n">
        <x:v>4.33</x:v>
      </x:c>
      <x:c r="N29" s="34" t="n">
        <x:f>XLOOKUP(D29,'Country Distributions'!$A$2:$A$10,'Country Distributions'!$C$2:$C$10)</x:f>
        <x:v>14</x:v>
      </x:c>
      <x:c r="O29" s="34" t="n">
        <x:f>XLOOKUP(D29,'Country Distributions'!$A$2:$A$10,'Country Distributions'!$D$2:$D$10)</x:f>
        <x:v>3.2</x:v>
      </x:c>
      <x:c r="P29" s="34" t="n">
        <x:f>LN(K29)</x:f>
        <x:v>0.5822156198526637</x:v>
      </x:c>
      <x:c r="Q29" s="34" t="n">
        <x:f>(LN(M29)-LN(L29))/3.92</x:f>
        <x:v>0.4506817945914082</x:v>
      </x:c>
      <x:c r="R29" s="34" t="n">
        <x:f>$N29*EXP(LN($O29)^2/2)*(IF(G29="",1,NORM.S.DIST((LN(G29)-LN($N29)-LN($O29)^2)/LN($O29),TRUE))-IF(F29=0,0,NORM.S.DIST((LN(F29)-LN($N29)-LN($O29)^2)/LN($O29),TRUE)))/(IF(G29="",1,NORM.S.DIST((LN(G29)-LN($N29))/LN($O29),TRUE))-IF(F29=0,0,NORM.S.DIST((LN(F29)-LN($N29))/LN($O29),TRUE)))</x:f>
        <x:v>596.2329143805996</x:v>
      </x:c>
      <x:c r="S29" s="34" t="n">
        <x:f>$N29*EXP(LN($O29)^2/2)*(IF(J29="",1,NORM.S.DIST((LN(J29)-LN($N29)-LN($O29)^2)/LN($O29),TRUE))-IF(I29=0,0,NORM.S.DIST((LN(I29)-LN($N29)-LN($O29)^2)/LN($O29),TRUE)))/(IF(J29="",1,NORM.S.DIST((LN(J29)-LN($N29))/LN($O29),TRUE))-IF(I29=0,0,NORM.S.DIST((LN(I29)-LN($N29))/LN($O29),TRUE)))</x:f>
        <x:v>9.956917063656881</x:v>
      </x:c>
      <x:c r="T29" s="34" t="n">
        <x:f>R29-S29</x:f>
        <x:v>586.2759973169427</x:v>
      </x:c>
      <x:c r="U29" s="34" t="n">
        <x:f>IF(G29="",1.2*F29,(F29+G29)/2)</x:f>
        <x:v>479.4</x:v>
      </x:c>
      <x:c r="V29" s="34" t="n">
        <x:f>IF(J29="",1.2*I29,(I29+J29)/2)</x:f>
        <x:v>12.25</x:v>
      </x:c>
      <x:c r="W29" s="34" t="n">
        <x:f>U29-V29</x:f>
        <x:v>467.15</x:v>
      </x:c>
      <x:c r="X29" s="30" t="str">
        <x:v>https://www.scielosp.org/pdf/bwho/2003.v81n10/732-738/en</x:v>
      </x:c>
      <x:c r="Y29" s="30" t="str">
        <x:v>Right-unbounded comparison support</x:v>
      </x:c>
    </x:row>
    <x:row r="30" ht="15" hidden="0" customHeight="1">
      <x:c r="A30" s="30" t="str">
        <x:v>Alavanja1999</x:v>
      </x:c>
      <x:c r="B30" s="30" t="str">
        <x:v>Alavanja et al.</x:v>
      </x:c>
      <x:c r="C30" s="30" t="n">
        <x:v>1999</x:v>
      </x:c>
      <x:c r="D30" s="30" t="str">
        <x:v>USA</x:v>
      </x:c>
      <x:c r="E30" s="30" t="str">
        <x:v>37-73</x:v>
      </x:c>
      <x:c r="F30" s="34" t="n">
        <x:v>36.5</x:v>
      </x:c>
      <x:c r="G30" s="34" t="n">
        <x:v>73.5</x:v>
      </x:c>
      <x:c r="H30" s="34" t="str">
        <x:v>&lt;37</x:v>
      </x:c>
      <x:c r="I30" s="34" t="n">
        <x:v>0</x:v>
      </x:c>
      <x:c r="J30" s="34" t="n">
        <x:v>36.5</x:v>
      </x:c>
      <x:c r="K30" s="34" t="n">
        <x:v>0.87</x:v>
      </x:c>
      <x:c r="L30" s="34" t="n">
        <x:v>0.6</x:v>
      </x:c>
      <x:c r="M30" s="34" t="n">
        <x:v>1.3</x:v>
      </x:c>
      <x:c r="N30" s="34" t="n">
        <x:f>XLOOKUP(D30,'Country Distributions'!$A$2:$A$10,'Country Distributions'!$C$2:$C$10)</x:f>
        <x:v>25</x:v>
      </x:c>
      <x:c r="O30" s="34" t="n">
        <x:f>XLOOKUP(D30,'Country Distributions'!$A$2:$A$10,'Country Distributions'!$D$2:$D$10)</x:f>
        <x:v>3.1</x:v>
      </x:c>
      <x:c r="P30" s="34" t="n">
        <x:f>LN(K30)</x:f>
        <x:v>-0.13926206733350766</x:v>
      </x:c>
      <x:c r="Q30" s="34" t="n">
        <x:f>(LN(M30)-LN(L30))/3.92</x:f>
        <x:v>0.19724231842690862</x:v>
      </x:c>
      <x:c r="R30" s="34" t="n">
        <x:f>$N30*EXP(LN($O30)^2/2)*(IF(G30="",1,NORM.S.DIST((LN(G30)-LN($N30)-LN($O30)^2)/LN($O30),TRUE))-IF(F30=0,0,NORM.S.DIST((LN(F30)-LN($N30)-LN($O30)^2)/LN($O30),TRUE)))/(IF(G30="",1,NORM.S.DIST((LN(G30)-LN($N30))/LN($O30),TRUE))-IF(F30=0,0,NORM.S.DIST((LN(F30)-LN($N30))/LN($O30),TRUE)))</x:f>
        <x:v>51.65159061648795</x:v>
      </x:c>
      <x:c r="S30" s="34" t="n">
        <x:f>$N30*EXP(LN($O30)^2/2)*(IF(J30="",1,NORM.S.DIST((LN(J30)-LN($N30)-LN($O30)^2)/LN($O30),TRUE))-IF(I30=0,0,NORM.S.DIST((LN(I30)-LN($N30)-LN($O30)^2)/LN($O30),TRUE)))/(IF(J30="",1,NORM.S.DIST((LN(J30)-LN($N30))/LN($O30),TRUE))-IF(I30=0,0,NORM.S.DIST((LN(I30)-LN($N30))/LN($O30),TRUE)))</x:f>
        <x:v>15.986290798895357</x:v>
      </x:c>
      <x:c r="T30" s="34" t="n">
        <x:f>R30-S30</x:f>
        <x:v>35.6652998175926</x:v>
      </x:c>
      <x:c r="U30" s="34" t="n">
        <x:f>IF(G30="",1.2*F30,(F30+G30)/2)</x:f>
        <x:v>55</x:v>
      </x:c>
      <x:c r="V30" s="34" t="n">
        <x:f>IF(J30="",1.2*I30,(I30+J30)/2)</x:f>
        <x:v>18.25</x:v>
      </x:c>
      <x:c r="W30" s="34" t="n">
        <x:f>U30-V30</x:f>
        <x:v>36.75</x:v>
      </x:c>
      <x:c r="X30" s="30" t="str">
        <x:v>https://www.scielosp.org/pdf/bwho/2003.v81n10/732-738/en</x:v>
      </x:c>
      <x:c r="Y30" s="30" t="str"/>
    </x:row>
    <x:row r="31" ht="15" hidden="0" customHeight="1">
      <x:c r="A31" s="30" t="str">
        <x:v>Alavanja1999</x:v>
      </x:c>
      <x:c r="B31" s="30" t="str">
        <x:v>Alavanja et al.</x:v>
      </x:c>
      <x:c r="C31" s="30" t="n">
        <x:v>1999</x:v>
      </x:c>
      <x:c r="D31" s="30" t="str">
        <x:v>USA</x:v>
      </x:c>
      <x:c r="E31" s="30" t="str">
        <x:v>74-147</x:v>
      </x:c>
      <x:c r="F31" s="34" t="n">
        <x:v>73.5</x:v>
      </x:c>
      <x:c r="G31" s="34" t="n">
        <x:v>147.5</x:v>
      </x:c>
      <x:c r="H31" s="34" t="str">
        <x:v>&lt;37</x:v>
      </x:c>
      <x:c r="I31" s="34" t="n">
        <x:v>0</x:v>
      </x:c>
      <x:c r="J31" s="34" t="n">
        <x:v>36.5</x:v>
      </x:c>
      <x:c r="K31" s="34" t="n">
        <x:v>0.91</x:v>
      </x:c>
      <x:c r="L31" s="34" t="n">
        <x:v>0.5</x:v>
      </x:c>
      <x:c r="M31" s="34" t="n">
        <x:v>1.5</x:v>
      </x:c>
      <x:c r="N31" s="34" t="n">
        <x:f>XLOOKUP(D31,'Country Distributions'!$A$2:$A$10,'Country Distributions'!$C$2:$C$10)</x:f>
        <x:v>25</x:v>
      </x:c>
      <x:c r="O31" s="34" t="n">
        <x:f>XLOOKUP(D31,'Country Distributions'!$A$2:$A$10,'Country Distributions'!$D$2:$D$10)</x:f>
        <x:v>3.1</x:v>
      </x:c>
      <x:c r="P31" s="34" t="n">
        <x:f>LN(K31)</x:f>
        <x:v>-0.09431067947124129</x:v>
      </x:c>
      <x:c r="Q31" s="34" t="n">
        <x:f>(LN(M31)-LN(L31))/3.92</x:f>
        <x:v>0.28025823690513</x:v>
      </x:c>
      <x:c r="R31" s="34" t="n">
        <x:f>$N31*EXP(LN($O31)^2/2)*(IF(G31="",1,NORM.S.DIST((LN(G31)-LN($N31)-LN($O31)^2)/LN($O31),TRUE))-IF(F31=0,0,NORM.S.DIST((LN(F31)-LN($N31)-LN($O31)^2)/LN($O31),TRUE)))/(IF(G31="",1,NORM.S.DIST((LN(G31)-LN($N31))/LN($O31),TRUE))-IF(F31=0,0,NORM.S.DIST((LN(F31)-LN($N31))/LN($O31),TRUE)))</x:f>
        <x:v>101.61016587467553</x:v>
      </x:c>
      <x:c r="S31" s="34" t="n">
        <x:f>$N31*EXP(LN($O31)^2/2)*(IF(J31="",1,NORM.S.DIST((LN(J31)-LN($N31)-LN($O31)^2)/LN($O31),TRUE))-IF(I31=0,0,NORM.S.DIST((LN(I31)-LN($N31)-LN($O31)^2)/LN($O31),TRUE)))/(IF(J31="",1,NORM.S.DIST((LN(J31)-LN($N31))/LN($O31),TRUE))-IF(I31=0,0,NORM.S.DIST((LN(I31)-LN($N31))/LN($O31),TRUE)))</x:f>
        <x:v>15.986290798895357</x:v>
      </x:c>
      <x:c r="T31" s="34" t="n">
        <x:f>R31-S31</x:f>
        <x:v>85.62387507578018</x:v>
      </x:c>
      <x:c r="U31" s="34" t="n">
        <x:f>IF(G31="",1.2*F31,(F31+G31)/2)</x:f>
        <x:v>110.5</x:v>
      </x:c>
      <x:c r="V31" s="34" t="n">
        <x:f>IF(J31="",1.2*I31,(I31+J31)/2)</x:f>
        <x:v>18.25</x:v>
      </x:c>
      <x:c r="W31" s="34" t="n">
        <x:f>U31-V31</x:f>
        <x:v>92.25</x:v>
      </x:c>
      <x:c r="X31" s="30" t="str">
        <x:v>https://www.scielosp.org/pdf/bwho/2003.v81n10/732-738/en</x:v>
      </x:c>
      <x:c r="Y31" s="30" t="str"/>
    </x:row>
    <x:row r="32" ht="15" hidden="0" customHeight="1">
      <x:c r="A32" s="30" t="str">
        <x:v>Alavanja1999</x:v>
      </x:c>
      <x:c r="B32" s="30" t="str">
        <x:v>Alavanja et al.</x:v>
      </x:c>
      <x:c r="C32" s="30" t="n">
        <x:v>1999</x:v>
      </x:c>
      <x:c r="D32" s="30" t="str">
        <x:v>USA</x:v>
      </x:c>
      <x:c r="E32" s="30" t="str">
        <x:v>&gt;=148</x:v>
      </x:c>
      <x:c r="F32" s="34" t="n">
        <x:v>147.5</x:v>
      </x:c>
      <x:c r="G32" s="34"/>
      <x:c r="H32" s="34" t="str">
        <x:v>&lt;37</x:v>
      </x:c>
      <x:c r="I32" s="34" t="n">
        <x:v>0</x:v>
      </x:c>
      <x:c r="J32" s="34" t="n">
        <x:v>36.5</x:v>
      </x:c>
      <x:c r="K32" s="34" t="n">
        <x:v>0.71</x:v>
      </x:c>
      <x:c r="L32" s="34" t="n">
        <x:v>0.3</x:v>
      </x:c>
      <x:c r="M32" s="34" t="n">
        <x:v>1.3</x:v>
      </x:c>
      <x:c r="N32" s="34" t="n">
        <x:f>XLOOKUP(D32,'Country Distributions'!$A$2:$A$10,'Country Distributions'!$C$2:$C$10)</x:f>
        <x:v>25</x:v>
      </x:c>
      <x:c r="O32" s="34" t="n">
        <x:f>XLOOKUP(D32,'Country Distributions'!$A$2:$A$10,'Country Distributions'!$D$2:$D$10)</x:f>
        <x:v>3.1</x:v>
      </x:c>
      <x:c r="P32" s="34" t="n">
        <x:f>LN(K32)</x:f>
        <x:v>-0.342490308946776</x:v>
      </x:c>
      <x:c r="Q32" s="34" t="n">
        <x:f>(LN(M32)-LN(L32))/3.92</x:f>
        <x:v>0.37406557877383345</x:v>
      </x:c>
      <x:c r="R32" s="34" t="n">
        <x:f>$N32*EXP(LN($O32)^2/2)*(IF(G32="",1,NORM.S.DIST((LN(G32)-LN($N32)-LN($O32)^2)/LN($O32),TRUE))-IF(F32=0,0,NORM.S.DIST((LN(F32)-LN($N32)-LN($O32)^2)/LN($O32),TRUE)))/(IF(G32="",1,NORM.S.DIST((LN(G32)-LN($N32))/LN($O32),TRUE))-IF(F32=0,0,NORM.S.DIST((LN(F32)-LN($N32))/LN($O32),TRUE)))</x:f>
        <x:v>268.90447050899206</x:v>
      </x:c>
      <x:c r="S32" s="34" t="n">
        <x:f>$N32*EXP(LN($O32)^2/2)*(IF(J32="",1,NORM.S.DIST((LN(J32)-LN($N32)-LN($O32)^2)/LN($O32),TRUE))-IF(I32=0,0,NORM.S.DIST((LN(I32)-LN($N32)-LN($O32)^2)/LN($O32),TRUE)))/(IF(J32="",1,NORM.S.DIST((LN(J32)-LN($N32))/LN($O32),TRUE))-IF(I32=0,0,NORM.S.DIST((LN(I32)-LN($N32))/LN($O32),TRUE)))</x:f>
        <x:v>15.986290798895357</x:v>
      </x:c>
      <x:c r="T32" s="34" t="n">
        <x:f>R32-S32</x:f>
        <x:v>252.9181797100967</x:v>
      </x:c>
      <x:c r="U32" s="34" t="n">
        <x:f>IF(G32="",1.2*F32,(F32+G32)/2)</x:f>
        <x:v>177</x:v>
      </x:c>
      <x:c r="V32" s="34" t="n">
        <x:f>IF(J32="",1.2*I32,(I32+J32)/2)</x:f>
        <x:v>18.25</x:v>
      </x:c>
      <x:c r="W32" s="34" t="n">
        <x:f>U32-V32</x:f>
        <x:v>158.75</x:v>
      </x:c>
      <x:c r="X32" s="30" t="str">
        <x:v>https://www.scielosp.org/pdf/bwho/2003.v81n10/732-738/en</x:v>
      </x:c>
      <x:c r="Y32" s="30" t="str">
        <x:v>Right-unbounded comparison support</x:v>
      </x:c>
    </x:row>
    <x:row r="33" ht="15" hidden="0" customHeight="1">
      <x:c r="A33" s="30" t="str">
        <x:v>Field2000</x:v>
      </x:c>
      <x:c r="B33" s="30" t="str">
        <x:v>Field et al.</x:v>
      </x:c>
      <x:c r="C33" s="30" t="n">
        <x:v>2000</x:v>
      </x:c>
      <x:c r="D33" s="30" t="str">
        <x:v>USA</x:v>
      </x:c>
      <x:c r="E33" s="30" t="str">
        <x:v>58-114</x:v>
      </x:c>
      <x:c r="F33" s="34" t="n">
        <x:v>57.5</x:v>
      </x:c>
      <x:c r="G33" s="34" t="n">
        <x:v>114.5</x:v>
      </x:c>
      <x:c r="H33" s="34" t="str">
        <x:v>&lt;=57</x:v>
      </x:c>
      <x:c r="I33" s="34" t="n">
        <x:v>0</x:v>
      </x:c>
      <x:c r="J33" s="34" t="n">
        <x:v>57.5</x:v>
      </x:c>
      <x:c r="K33" s="34" t="n">
        <x:v>1.34</x:v>
      </x:c>
      <x:c r="L33" s="34" t="n">
        <x:v>0.81</x:v>
      </x:c>
      <x:c r="M33" s="34" t="n">
        <x:v>2.22</x:v>
      </x:c>
      <x:c r="N33" s="34" t="n">
        <x:f>XLOOKUP(D33,'Country Distributions'!$A$2:$A$10,'Country Distributions'!$C$2:$C$10)</x:f>
        <x:v>25</x:v>
      </x:c>
      <x:c r="O33" s="34" t="n">
        <x:f>XLOOKUP(D33,'Country Distributions'!$A$2:$A$10,'Country Distributions'!$D$2:$D$10)</x:f>
        <x:v>3.1</x:v>
      </x:c>
      <x:c r="P33" s="34" t="n">
        <x:f>LN(K33)</x:f>
        <x:v>0.29266961396282004</x:v>
      </x:c>
      <x:c r="Q33" s="34" t="n">
        <x:f>(LN(M33)-LN(L33))/3.92</x:f>
        <x:v>0.25720107836730627</x:v>
      </x:c>
      <x:c r="R33" s="34" t="n">
        <x:f>$N33*EXP(LN($O33)^2/2)*(IF(G33="",1,NORM.S.DIST((LN(G33)-LN($N33)-LN($O33)^2)/LN($O33),TRUE))-IF(F33=0,0,NORM.S.DIST((LN(F33)-LN($N33)-LN($O33)^2)/LN($O33),TRUE)))/(IF(G33="",1,NORM.S.DIST((LN(G33)-LN($N33))/LN($O33),TRUE))-IF(F33=0,0,NORM.S.DIST((LN(F33)-LN($N33))/LN($O33),TRUE)))</x:f>
        <x:v>79.82555304832893</x:v>
      </x:c>
      <x:c r="S33" s="34" t="n">
        <x:f>$N33*EXP(LN($O33)^2/2)*(IF(J33="",1,NORM.S.DIST((LN(J33)-LN($N33)-LN($O33)^2)/LN($O33),TRUE))-IF(I33=0,0,NORM.S.DIST((LN(I33)-LN($N33)-LN($O33)^2)/LN($O33),TRUE)))/(IF(J33="",1,NORM.S.DIST((LN(J33)-LN($N33))/LN($O33),TRUE))-IF(I33=0,0,NORM.S.DIST((LN(I33)-LN($N33))/LN($O33),TRUE)))</x:f>
        <x:v>21.348672727749197</x:v>
      </x:c>
      <x:c r="T33" s="34" t="n">
        <x:f>R33-S33</x:f>
        <x:v>58.47688032057973</x:v>
      </x:c>
      <x:c r="U33" s="34" t="n">
        <x:f>IF(G33="",1.2*F33,(F33+G33)/2)</x:f>
        <x:v>86</x:v>
      </x:c>
      <x:c r="V33" s="34" t="n">
        <x:f>IF(J33="",1.2*I33,(I33+J33)/2)</x:f>
        <x:v>28.75</x:v>
      </x:c>
      <x:c r="W33" s="34" t="n">
        <x:f>U33-V33</x:f>
        <x:v>57.25</x:v>
      </x:c>
      <x:c r="X33" s="30" t="str">
        <x:v>https://www.scielosp.org/pdf/bwho/2003.v81n10/732-738/en</x:v>
      </x:c>
      <x:c r="Y33" s="30" t="str"/>
    </x:row>
    <x:row r="34" ht="15" hidden="0" customHeight="1">
      <x:c r="A34" s="30" t="str">
        <x:v>Field2000</x:v>
      </x:c>
      <x:c r="B34" s="30" t="str">
        <x:v>Field et al.</x:v>
      </x:c>
      <x:c r="C34" s="30" t="n">
        <x:v>2000</x:v>
      </x:c>
      <x:c r="D34" s="30" t="str">
        <x:v>USA</x:v>
      </x:c>
      <x:c r="E34" s="30" t="str">
        <x:v>115-170</x:v>
      </x:c>
      <x:c r="F34" s="34" t="n">
        <x:v>114.5</x:v>
      </x:c>
      <x:c r="G34" s="34" t="n">
        <x:v>170.5</x:v>
      </x:c>
      <x:c r="H34" s="34" t="str">
        <x:v>&lt;=57</x:v>
      </x:c>
      <x:c r="I34" s="34" t="n">
        <x:v>0</x:v>
      </x:c>
      <x:c r="J34" s="34" t="n">
        <x:v>57.5</x:v>
      </x:c>
      <x:c r="K34" s="34" t="n">
        <x:v>1.73</x:v>
      </x:c>
      <x:c r="L34" s="34" t="n">
        <x:v>0.99</x:v>
      </x:c>
      <x:c r="M34" s="34" t="n">
        <x:v>3.04</x:v>
      </x:c>
      <x:c r="N34" s="34" t="n">
        <x:f>XLOOKUP(D34,'Country Distributions'!$A$2:$A$10,'Country Distributions'!$C$2:$C$10)</x:f>
        <x:v>25</x:v>
      </x:c>
      <x:c r="O34" s="34" t="n">
        <x:f>XLOOKUP(D34,'Country Distributions'!$A$2:$A$10,'Country Distributions'!$D$2:$D$10)</x:f>
        <x:v>3.1</x:v>
      </x:c>
      <x:c r="P34" s="34" t="n">
        <x:f>LN(K34)</x:f>
        <x:v>0.5481214085096876</x:v>
      </x:c>
      <x:c r="Q34" s="34" t="n">
        <x:f>(LN(M34)-LN(L34))/3.92</x:f>
        <x:v>0.28620098246725295</x:v>
      </x:c>
      <x:c r="R34" s="34" t="n">
        <x:f>$N34*EXP(LN($O34)^2/2)*(IF(G34="",1,NORM.S.DIST((LN(G34)-LN($N34)-LN($O34)^2)/LN($O34),TRUE))-IF(F34=0,0,NORM.S.DIST((LN(F34)-LN($N34)-LN($O34)^2)/LN($O34),TRUE)))/(IF(G34="",1,NORM.S.DIST((LN(G34)-LN($N34))/LN($O34),TRUE))-IF(F34=0,0,NORM.S.DIST((LN(F34)-LN($N34))/LN($O34),TRUE)))</x:f>
        <x:v>138.18247945731093</x:v>
      </x:c>
      <x:c r="S34" s="34" t="n">
        <x:f>$N34*EXP(LN($O34)^2/2)*(IF(J34="",1,NORM.S.DIST((LN(J34)-LN($N34)-LN($O34)^2)/LN($O34),TRUE))-IF(I34=0,0,NORM.S.DIST((LN(I34)-LN($N34)-LN($O34)^2)/LN($O34),TRUE)))/(IF(J34="",1,NORM.S.DIST((LN(J34)-LN($N34))/LN($O34),TRUE))-IF(I34=0,0,NORM.S.DIST((LN(I34)-LN($N34))/LN($O34),TRUE)))</x:f>
        <x:v>21.348672727749197</x:v>
      </x:c>
      <x:c r="T34" s="34" t="n">
        <x:f>R34-S34</x:f>
        <x:v>116.83380672956173</x:v>
      </x:c>
      <x:c r="U34" s="34" t="n">
        <x:f>IF(G34="",1.2*F34,(F34+G34)/2)</x:f>
        <x:v>142.5</x:v>
      </x:c>
      <x:c r="V34" s="34" t="n">
        <x:f>IF(J34="",1.2*I34,(I34+J34)/2)</x:f>
        <x:v>28.75</x:v>
      </x:c>
      <x:c r="W34" s="34" t="n">
        <x:f>U34-V34</x:f>
        <x:v>113.75</x:v>
      </x:c>
      <x:c r="X34" s="30" t="str">
        <x:v>https://www.scielosp.org/pdf/bwho/2003.v81n10/732-738/en</x:v>
      </x:c>
      <x:c r="Y34" s="30" t="str"/>
    </x:row>
    <x:row r="35" ht="15" hidden="0" customHeight="1">
      <x:c r="A35" s="30" t="str">
        <x:v>Field2000</x:v>
      </x:c>
      <x:c r="B35" s="30" t="str">
        <x:v>Field et al.</x:v>
      </x:c>
      <x:c r="C35" s="30" t="n">
        <x:v>2000</x:v>
      </x:c>
      <x:c r="D35" s="30" t="str">
        <x:v>USA</x:v>
      </x:c>
      <x:c r="E35" s="30" t="str">
        <x:v>171-228</x:v>
      </x:c>
      <x:c r="F35" s="34" t="n">
        <x:v>170.5</x:v>
      </x:c>
      <x:c r="G35" s="34" t="n">
        <x:v>228.5</x:v>
      </x:c>
      <x:c r="H35" s="34" t="str">
        <x:v>&lt;=57</x:v>
      </x:c>
      <x:c r="I35" s="34" t="n">
        <x:v>0</x:v>
      </x:c>
      <x:c r="J35" s="34" t="n">
        <x:v>57.5</x:v>
      </x:c>
      <x:c r="K35" s="34" t="n">
        <x:v>1.62</x:v>
      </x:c>
      <x:c r="L35" s="34" t="n">
        <x:v>0.88</x:v>
      </x:c>
      <x:c r="M35" s="34" t="n">
        <x:v>2.99</x:v>
      </x:c>
      <x:c r="N35" s="34" t="n">
        <x:f>XLOOKUP(D35,'Country Distributions'!$A$2:$A$10,'Country Distributions'!$C$2:$C$10)</x:f>
        <x:v>25</x:v>
      </x:c>
      <x:c r="O35" s="34" t="n">
        <x:f>XLOOKUP(D35,'Country Distributions'!$A$2:$A$10,'Country Distributions'!$D$2:$D$10)</x:f>
        <x:v>3.1</x:v>
      </x:c>
      <x:c r="P35" s="34" t="n">
        <x:f>LN(K35)</x:f>
        <x:v>0.4824261492442928</x:v>
      </x:c>
      <x:c r="Q35" s="34" t="n">
        <x:f>(LN(M35)-LN(L35))/3.92</x:f>
        <x:v>0.3120170303348163</x:v>
      </x:c>
      <x:c r="R35" s="34" t="n">
        <x:f>$N35*EXP(LN($O35)^2/2)*(IF(G35="",1,NORM.S.DIST((LN(G35)-LN($N35)-LN($O35)^2)/LN($O35),TRUE))-IF(F35=0,0,NORM.S.DIST((LN(F35)-LN($N35)-LN($O35)^2)/LN($O35),TRUE)))/(IF(G35="",1,NORM.S.DIST((LN(G35)-LN($N35))/LN($O35),TRUE))-IF(F35=0,0,NORM.S.DIST((LN(F35)-LN($N35))/LN($O35),TRUE)))</x:f>
        <x:v>195.82281057417012</x:v>
      </x:c>
      <x:c r="S35" s="34" t="n">
        <x:f>$N35*EXP(LN($O35)^2/2)*(IF(J35="",1,NORM.S.DIST((LN(J35)-LN($N35)-LN($O35)^2)/LN($O35),TRUE))-IF(I35=0,0,NORM.S.DIST((LN(I35)-LN($N35)-LN($O35)^2)/LN($O35),TRUE)))/(IF(J35="",1,NORM.S.DIST((LN(J35)-LN($N35))/LN($O35),TRUE))-IF(I35=0,0,NORM.S.DIST((LN(I35)-LN($N35))/LN($O35),TRUE)))</x:f>
        <x:v>21.348672727749197</x:v>
      </x:c>
      <x:c r="T35" s="34" t="n">
        <x:f>R35-S35</x:f>
        <x:v>174.47413784642092</x:v>
      </x:c>
      <x:c r="U35" s="34" t="n">
        <x:f>IF(G35="",1.2*F35,(F35+G35)/2)</x:f>
        <x:v>199.5</x:v>
      </x:c>
      <x:c r="V35" s="34" t="n">
        <x:f>IF(J35="",1.2*I35,(I35+J35)/2)</x:f>
        <x:v>28.75</x:v>
      </x:c>
      <x:c r="W35" s="34" t="n">
        <x:f>U35-V35</x:f>
        <x:v>170.75</x:v>
      </x:c>
      <x:c r="X35" s="30" t="str">
        <x:v>https://www.scielosp.org/pdf/bwho/2003.v81n10/732-738/en</x:v>
      </x:c>
      <x:c r="Y35" s="30" t="str"/>
    </x:row>
    <x:row r="36" ht="15" hidden="0" customHeight="1">
      <x:c r="A36" s="30" t="str">
        <x:v>Field2000</x:v>
      </x:c>
      <x:c r="B36" s="30" t="str">
        <x:v>Field et al.</x:v>
      </x:c>
      <x:c r="C36" s="30" t="n">
        <x:v>2000</x:v>
      </x:c>
      <x:c r="D36" s="30" t="str">
        <x:v>USA</x:v>
      </x:c>
      <x:c r="E36" s="30" t="str">
        <x:v>&gt;228</x:v>
      </x:c>
      <x:c r="F36" s="34" t="n">
        <x:v>228.5</x:v>
      </x:c>
      <x:c r="G36" s="34"/>
      <x:c r="H36" s="34" t="str">
        <x:v>&lt;=57</x:v>
      </x:c>
      <x:c r="I36" s="34" t="n">
        <x:v>0</x:v>
      </x:c>
      <x:c r="J36" s="34" t="n">
        <x:v>57.5</x:v>
      </x:c>
      <x:c r="K36" s="34" t="n">
        <x:v>1.79</x:v>
      </x:c>
      <x:c r="L36" s="34" t="n">
        <x:v>0.99</x:v>
      </x:c>
      <x:c r="M36" s="34" t="n">
        <x:v>3.26</x:v>
      </x:c>
      <x:c r="N36" s="34" t="n">
        <x:f>XLOOKUP(D36,'Country Distributions'!$A$2:$A$10,'Country Distributions'!$C$2:$C$10)</x:f>
        <x:v>25</x:v>
      </x:c>
      <x:c r="O36" s="34" t="n">
        <x:f>XLOOKUP(D36,'Country Distributions'!$A$2:$A$10,'Country Distributions'!$D$2:$D$10)</x:f>
        <x:v>3.1</x:v>
      </x:c>
      <x:c r="P36" s="34" t="n">
        <x:f>LN(K36)</x:f>
        <x:v>0.5822156198526637</x:v>
      </x:c>
      <x:c r="Q36" s="34" t="n">
        <x:f>(LN(M36)-LN(L36))/3.92</x:f>
        <x:v>0.3040248804163565</x:v>
      </x:c>
      <x:c r="R36" s="34" t="n">
        <x:f>$N36*EXP(LN($O36)^2/2)*(IF(G36="",1,NORM.S.DIST((LN(G36)-LN($N36)-LN($O36)^2)/LN($O36),TRUE))-IF(F36=0,0,NORM.S.DIST((LN(F36)-LN($N36)-LN($O36)^2)/LN($O36),TRUE)))/(IF(G36="",1,NORM.S.DIST((LN(G36)-LN($N36))/LN($O36),TRUE))-IF(F36=0,0,NORM.S.DIST((LN(F36)-LN($N36))/LN($O36),TRUE)))</x:f>
        <x:v>384.71608870641245</x:v>
      </x:c>
      <x:c r="S36" s="34" t="n">
        <x:f>$N36*EXP(LN($O36)^2/2)*(IF(J36="",1,NORM.S.DIST((LN(J36)-LN($N36)-LN($O36)^2)/LN($O36),TRUE))-IF(I36=0,0,NORM.S.DIST((LN(I36)-LN($N36)-LN($O36)^2)/LN($O36),TRUE)))/(IF(J36="",1,NORM.S.DIST((LN(J36)-LN($N36))/LN($O36),TRUE))-IF(I36=0,0,NORM.S.DIST((LN(I36)-LN($N36))/LN($O36),TRUE)))</x:f>
        <x:v>21.348672727749197</x:v>
      </x:c>
      <x:c r="T36" s="34" t="n">
        <x:f>R36-S36</x:f>
        <x:v>363.36741597866325</x:v>
      </x:c>
      <x:c r="U36" s="34" t="n">
        <x:f>IF(G36="",1.2*F36,(F36+G36)/2)</x:f>
        <x:v>274.2</x:v>
      </x:c>
      <x:c r="V36" s="34" t="n">
        <x:f>IF(J36="",1.2*I36,(I36+J36)/2)</x:f>
        <x:v>28.75</x:v>
      </x:c>
      <x:c r="W36" s="34" t="n">
        <x:f>U36-V36</x:f>
        <x:v>245.45</x:v>
      </x:c>
      <x:c r="X36" s="30" t="str">
        <x:v>https://www.scielosp.org/pdf/bwho/2003.v81n10/732-738/en</x:v>
      </x:c>
      <x:c r="Y36" s="30" t="str">
        <x:v>Right-unbounded comparison support</x:v>
      </x:c>
    </x:row>
    <x:row r="37" ht="15" hidden="0" customHeight="1">
      <x:c r="A37" s="30" t="str">
        <x:v>Sobue2000</x:v>
      </x:c>
      <x:c r="B37" s="30" t="str">
        <x:v>Sobue et al.</x:v>
      </x:c>
      <x:c r="C37" s="30" t="n">
        <x:v>2000</x:v>
      </x:c>
      <x:c r="D37" s="30" t="str">
        <x:v>Japan</x:v>
      </x:c>
      <x:c r="E37" s="30" t="str">
        <x:v>25-49</x:v>
      </x:c>
      <x:c r="F37" s="34" t="n">
        <x:v>24.5</x:v>
      </x:c>
      <x:c r="G37" s="34" t="n">
        <x:v>49.5</x:v>
      </x:c>
      <x:c r="H37" s="34" t="str">
        <x:v>&lt;=24</x:v>
      </x:c>
      <x:c r="I37" s="34" t="n">
        <x:v>0</x:v>
      </x:c>
      <x:c r="J37" s="34" t="n">
        <x:v>24.5</x:v>
      </x:c>
      <x:c r="K37" s="34" t="n">
        <x:v>1.13</x:v>
      </x:c>
      <x:c r="L37" s="34" t="n">
        <x:v>0.29</x:v>
      </x:c>
      <x:c r="M37" s="34" t="n">
        <x:v>4.4</x:v>
      </x:c>
      <x:c r="N37" s="34" t="n">
        <x:f>XLOOKUP(D37,'Country Distributions'!$A$2:$A$10,'Country Distributions'!$C$2:$C$10)</x:f>
        <x:v>13</x:v>
      </x:c>
      <x:c r="O37" s="34" t="n">
        <x:f>XLOOKUP(D37,'Country Distributions'!$A$2:$A$10,'Country Distributions'!$D$2:$D$10)</x:f>
        <x:v>1.8</x:v>
      </x:c>
      <x:c r="P37" s="34" t="n">
        <x:f>LN(K37)</x:f>
        <x:v>0.12221763272424911</x:v>
      </x:c>
      <x:c r="Q37" s="34" t="n">
        <x:f>(LN(M37)-LN(L37))/3.92</x:f>
        <x:v>0.6937446165627125</x:v>
      </x:c>
      <x:c r="R37" s="34" t="n">
        <x:f>$N37*EXP(LN($O37)^2/2)*(IF(G37="",1,NORM.S.DIST((LN(G37)-LN($N37)-LN($O37)^2)/LN($O37),TRUE))-IF(F37=0,0,NORM.S.DIST((LN(F37)-LN($N37)-LN($O37)^2)/LN($O37),TRUE)))/(IF(G37="",1,NORM.S.DIST((LN(G37)-LN($N37))/LN($O37),TRUE))-IF(F37=0,0,NORM.S.DIST((LN(F37)-LN($N37))/LN($O37),TRUE)))</x:f>
        <x:v>31.87091984069248</x:v>
      </x:c>
      <x:c r="S37" s="34" t="n">
        <x:f>$N37*EXP(LN($O37)^2/2)*(IF(J37="",1,NORM.S.DIST((LN(J37)-LN($N37)-LN($O37)^2)/LN($O37),TRUE))-IF(I37=0,0,NORM.S.DIST((LN(I37)-LN($N37)-LN($O37)^2)/LN($O37),TRUE)))/(IF(J37="",1,NORM.S.DIST((LN(J37)-LN($N37))/LN($O37),TRUE))-IF(I37=0,0,NORM.S.DIST((LN(I37)-LN($N37))/LN($O37),TRUE)))</x:f>
        <x:v>12.369142322196952</x:v>
      </x:c>
      <x:c r="T37" s="34" t="n">
        <x:f>R37-S37</x:f>
        <x:v>19.50177751849553</x:v>
      </x:c>
      <x:c r="U37" s="34" t="n">
        <x:f>IF(G37="",1.2*F37,(F37+G37)/2)</x:f>
        <x:v>37</x:v>
      </x:c>
      <x:c r="V37" s="34" t="n">
        <x:f>IF(J37="",1.2*I37,(I37+J37)/2)</x:f>
        <x:v>12.25</x:v>
      </x:c>
      <x:c r="W37" s="34" t="n">
        <x:f>U37-V37</x:f>
        <x:v>24.75</x:v>
      </x:c>
      <x:c r="X37" s="30" t="str">
        <x:v>https://www.scielosp.org/pdf/bwho/2003.v81n10/732-738/en</x:v>
      </x:c>
      <x:c r="Y37" s="30" t="str"/>
    </x:row>
    <x:row r="38" ht="15" hidden="0" customHeight="1">
      <x:c r="A38" s="30" t="str">
        <x:v>Sobue2000</x:v>
      </x:c>
      <x:c r="B38" s="30" t="str">
        <x:v>Sobue et al.</x:v>
      </x:c>
      <x:c r="C38" s="30" t="n">
        <x:v>2000</x:v>
      </x:c>
      <x:c r="D38" s="30" t="str">
        <x:v>Japan</x:v>
      </x:c>
      <x:c r="E38" s="30" t="str">
        <x:v>50-99</x:v>
      </x:c>
      <x:c r="F38" s="34" t="n">
        <x:v>49.5</x:v>
      </x:c>
      <x:c r="G38" s="34" t="n">
        <x:v>99.5</x:v>
      </x:c>
      <x:c r="H38" s="34" t="str">
        <x:v>&lt;=24</x:v>
      </x:c>
      <x:c r="I38" s="34" t="n">
        <x:v>0</x:v>
      </x:c>
      <x:c r="J38" s="34" t="n">
        <x:v>24.5</x:v>
      </x:c>
      <x:c r="K38" s="34" t="n">
        <x:v>1.23</x:v>
      </x:c>
      <x:c r="L38" s="34" t="n">
        <x:v>0.16</x:v>
      </x:c>
      <x:c r="M38" s="34" t="n">
        <x:v>9.39</x:v>
      </x:c>
      <x:c r="N38" s="34" t="n">
        <x:f>XLOOKUP(D38,'Country Distributions'!$A$2:$A$10,'Country Distributions'!$C$2:$C$10)</x:f>
        <x:v>13</x:v>
      </x:c>
      <x:c r="O38" s="34" t="n">
        <x:f>XLOOKUP(D38,'Country Distributions'!$A$2:$A$10,'Country Distributions'!$D$2:$D$10)</x:f>
        <x:v>1.8</x:v>
      </x:c>
      <x:c r="P38" s="34" t="n">
        <x:f>LN(K38)</x:f>
        <x:v>0.2070141693843261</x:v>
      </x:c>
      <x:c r="Q38" s="34" t="n">
        <x:f>(LN(M38)-LN(L38))/3.92</x:f>
        <x:v>1.0388333563695105</x:v>
      </x:c>
      <x:c r="R38" s="34" t="n">
        <x:f>$N38*EXP(LN($O38)^2/2)*(IF(G38="",1,NORM.S.DIST((LN(G38)-LN($N38)-LN($O38)^2)/LN($O38),TRUE))-IF(F38=0,0,NORM.S.DIST((LN(F38)-LN($N38)-LN($O38)^2)/LN($O38),TRUE)))/(IF(G38="",1,NORM.S.DIST((LN(G38)-LN($N38))/LN($O38),TRUE))-IF(F38=0,0,NORM.S.DIST((LN(F38)-LN($N38))/LN($O38),TRUE)))</x:f>
        <x:v>60.438869881918954</x:v>
      </x:c>
      <x:c r="S38" s="34" t="n">
        <x:f>$N38*EXP(LN($O38)^2/2)*(IF(J38="",1,NORM.S.DIST((LN(J38)-LN($N38)-LN($O38)^2)/LN($O38),TRUE))-IF(I38=0,0,NORM.S.DIST((LN(I38)-LN($N38)-LN($O38)^2)/LN($O38),TRUE)))/(IF(J38="",1,NORM.S.DIST((LN(J38)-LN($N38))/LN($O38),TRUE))-IF(I38=0,0,NORM.S.DIST((LN(I38)-LN($N38))/LN($O38),TRUE)))</x:f>
        <x:v>12.369142322196952</x:v>
      </x:c>
      <x:c r="T38" s="34" t="n">
        <x:f>R38-S38</x:f>
        <x:v>48.069727559722004</x:v>
      </x:c>
      <x:c r="U38" s="34" t="n">
        <x:f>IF(G38="",1.2*F38,(F38+G38)/2)</x:f>
        <x:v>74.5</x:v>
      </x:c>
      <x:c r="V38" s="34" t="n">
        <x:f>IF(J38="",1.2*I38,(I38+J38)/2)</x:f>
        <x:v>12.25</x:v>
      </x:c>
      <x:c r="W38" s="34" t="n">
        <x:f>U38-V38</x:f>
        <x:v>62.25</x:v>
      </x:c>
      <x:c r="X38" s="30" t="str">
        <x:v>https://www.scielosp.org/pdf/bwho/2003.v81n10/732-738/en</x:v>
      </x:c>
      <x:c r="Y38" s="30" t="str"/>
    </x:row>
    <x:row r="39" ht="15" hidden="0" customHeight="1">
      <x:c r="A39" s="30" t="str">
        <x:v>Sobue2000</x:v>
      </x:c>
      <x:c r="B39" s="30" t="str">
        <x:v>Sobue et al.</x:v>
      </x:c>
      <x:c r="C39" s="30" t="n">
        <x:v>2000</x:v>
      </x:c>
      <x:c r="D39" s="30" t="str">
        <x:v>Japan</x:v>
      </x:c>
      <x:c r="E39" s="30" t="str">
        <x:v>&gt;=100</x:v>
      </x:c>
      <x:c r="F39" s="34" t="n">
        <x:v>99.5</x:v>
      </x:c>
      <x:c r="G39" s="34"/>
      <x:c r="H39" s="34" t="str">
        <x:v>&lt;=24</x:v>
      </x:c>
      <x:c r="I39" s="34" t="n">
        <x:v>0</x:v>
      </x:c>
      <x:c r="J39" s="34" t="n">
        <x:v>24.5</x:v>
      </x:c>
      <x:c r="K39" s="34" t="n">
        <x:v>0.25</x:v>
      </x:c>
      <x:c r="L39" s="34" t="n">
        <x:v>0.03</x:v>
      </x:c>
      <x:c r="M39" s="34" t="n">
        <x:v>2.33</x:v>
      </x:c>
      <x:c r="N39" s="34" t="n">
        <x:f>XLOOKUP(D39,'Country Distributions'!$A$2:$A$10,'Country Distributions'!$C$2:$C$10)</x:f>
        <x:v>13</x:v>
      </x:c>
      <x:c r="O39" s="34" t="n">
        <x:f>XLOOKUP(D39,'Country Distributions'!$A$2:$A$10,'Country Distributions'!$D$2:$D$10)</x:f>
        <x:v>1.8</x:v>
      </x:c>
      <x:c r="P39" s="34" t="n">
        <x:f>LN(K39)</x:f>
        <x:v>-1.3862943611198906</x:v>
      </x:c>
      <x:c r="Q39" s="34" t="n">
        <x:f>(LN(M39)-LN(L39))/3.92</x:f>
        <x:v>1.1103127971677529</x:v>
      </x:c>
      <x:c r="R39" s="34" t="n">
        <x:f>$N39*EXP(LN($O39)^2/2)*(IF(G39="",1,NORM.S.DIST((LN(G39)-LN($N39)-LN($O39)^2)/LN($O39),TRUE))-IF(F39=0,0,NORM.S.DIST((LN(F39)-LN($N39)-LN($O39)^2)/LN($O39),TRUE)))/(IF(G39="",1,NORM.S.DIST((LN(G39)-LN($N39))/LN($O39),TRUE))-IF(F39=0,0,NORM.S.DIST((LN(F39)-LN($N39))/LN($O39),TRUE)))</x:f>
        <x:v>116.7531986884211</x:v>
      </x:c>
      <x:c r="S39" s="34" t="n">
        <x:f>$N39*EXP(LN($O39)^2/2)*(IF(J39="",1,NORM.S.DIST((LN(J39)-LN($N39)-LN($O39)^2)/LN($O39),TRUE))-IF(I39=0,0,NORM.S.DIST((LN(I39)-LN($N39)-LN($O39)^2)/LN($O39),TRUE)))/(IF(J39="",1,NORM.S.DIST((LN(J39)-LN($N39))/LN($O39),TRUE))-IF(I39=0,0,NORM.S.DIST((LN(I39)-LN($N39))/LN($O39),TRUE)))</x:f>
        <x:v>12.369142322196952</x:v>
      </x:c>
      <x:c r="T39" s="34" t="n">
        <x:f>R39-S39</x:f>
        <x:v>104.38405636622414</x:v>
      </x:c>
      <x:c r="U39" s="34" t="n">
        <x:f>IF(G39="",1.2*F39,(F39+G39)/2)</x:f>
        <x:v>119.39999999999999</x:v>
      </x:c>
      <x:c r="V39" s="34" t="n">
        <x:f>IF(J39="",1.2*I39,(I39+J39)/2)</x:f>
        <x:v>12.25</x:v>
      </x:c>
      <x:c r="W39" s="34" t="n">
        <x:f>U39-V39</x:f>
        <x:v>107.14999999999999</x:v>
      </x:c>
      <x:c r="X39" s="30" t="str">
        <x:v>https://www.scielosp.org/pdf/bwho/2003.v81n10/732-738/en</x:v>
      </x:c>
      <x:c r="Y39" s="30" t="str">
        <x:v>Right-unbounded comparison support</x:v>
      </x:c>
    </x:row>
    <x:row r="40" ht="15" hidden="0" customHeight="1">
      <x:c r="A40" s="30" t="str">
        <x:v>Kreienbrock2001</x:v>
      </x:c>
      <x:c r="B40" s="30" t="str">
        <x:v>Kreienbrock et al.</x:v>
      </x:c>
      <x:c r="C40" s="30" t="n">
        <x:v>2001</x:v>
      </x:c>
      <x:c r="D40" s="30" t="str">
        <x:v>Germany</x:v>
      </x:c>
      <x:c r="E40" s="30" t="str">
        <x:v>50-80</x:v>
      </x:c>
      <x:c r="F40" s="34" t="n">
        <x:v>49.5</x:v>
      </x:c>
      <x:c r="G40" s="34" t="n">
        <x:v>80.5</x:v>
      </x:c>
      <x:c r="H40" s="34" t="str">
        <x:v>&lt;50</x:v>
      </x:c>
      <x:c r="I40" s="34" t="n">
        <x:v>0</x:v>
      </x:c>
      <x:c r="J40" s="34" t="n">
        <x:v>49.5</x:v>
      </x:c>
      <x:c r="K40" s="34" t="n">
        <x:v>0.98</x:v>
      </x:c>
      <x:c r="L40" s="34" t="n">
        <x:v>0.81</x:v>
      </x:c>
      <x:c r="M40" s="34" t="n">
        <x:v>1.2</x:v>
      </x:c>
      <x:c r="N40" s="34" t="n">
        <x:f>XLOOKUP(D40,'Country Distributions'!$A$2:$A$10,'Country Distributions'!$C$2:$C$10)</x:f>
        <x:v>37</x:v>
      </x:c>
      <x:c r="O40" s="34" t="n">
        <x:f>XLOOKUP(D40,'Country Distributions'!$A$2:$A$10,'Country Distributions'!$D$2:$D$10)</x:f>
        <x:v>2</x:v>
      </x:c>
      <x:c r="P40" s="34" t="n">
        <x:f>LN(K40)</x:f>
        <x:v>-0.020202707317519466</x:v>
      </x:c>
      <x:c r="Q40" s="34" t="n">
        <x:f>(LN(M40)-LN(L40))/3.92</x:f>
        <x:v>0.10026596635449161</x:v>
      </x:c>
      <x:c r="R40" s="34" t="n">
        <x:f>$N40*EXP(LN($O40)^2/2)*(IF(G40="",1,NORM.S.DIST((LN(G40)-LN($N40)-LN($O40)^2)/LN($O40),TRUE))-IF(F40=0,0,NORM.S.DIST((LN(F40)-LN($N40)-LN($O40)^2)/LN($O40),TRUE)))/(IF(G40="",1,NORM.S.DIST((LN(G40)-LN($N40))/LN($O40),TRUE))-IF(F40=0,0,NORM.S.DIST((LN(F40)-LN($N40))/LN($O40),TRUE)))</x:f>
        <x:v>62.38235018939868</x:v>
      </x:c>
      <x:c r="S40" s="34" t="n">
        <x:f>$N40*EXP(LN($O40)^2/2)*(IF(J40="",1,NORM.S.DIST((LN(J40)-LN($N40)-LN($O40)^2)/LN($O40),TRUE))-IF(I40=0,0,NORM.S.DIST((LN(I40)-LN($N40)-LN($O40)^2)/LN($O40),TRUE)))/(IF(J40="",1,NORM.S.DIST((LN(J40)-LN($N40))/LN($O40),TRUE))-IF(I40=0,0,NORM.S.DIST((LN(I40)-LN($N40))/LN($O40),TRUE)))</x:f>
        <x:v>27.851853828075026</x:v>
      </x:c>
      <x:c r="T40" s="34" t="n">
        <x:f>R40-S40</x:f>
        <x:v>34.53049636132366</x:v>
      </x:c>
      <x:c r="U40" s="34" t="n">
        <x:f>IF(G40="",1.2*F40,(F40+G40)/2)</x:f>
        <x:v>65</x:v>
      </x:c>
      <x:c r="V40" s="34" t="n">
        <x:f>IF(J40="",1.2*I40,(I40+J40)/2)</x:f>
        <x:v>24.75</x:v>
      </x:c>
      <x:c r="W40" s="34" t="n">
        <x:f>U40-V40</x:f>
        <x:v>40.25</x:v>
      </x:c>
      <x:c r="X40" s="30" t="str">
        <x:v>https://www.scielosp.org/pdf/bwho/2003.v81n10/732-738/en</x:v>
      </x:c>
      <x:c r="Y40" s="30" t="str"/>
    </x:row>
    <x:row r="41" ht="15" hidden="0" customHeight="1">
      <x:c r="A41" s="30" t="str">
        <x:v>Kreienbrock2001</x:v>
      </x:c>
      <x:c r="B41" s="30" t="str">
        <x:v>Kreienbrock et al.</x:v>
      </x:c>
      <x:c r="C41" s="30" t="n">
        <x:v>2001</x:v>
      </x:c>
      <x:c r="D41" s="30" t="str">
        <x:v>Germany</x:v>
      </x:c>
      <x:c r="E41" s="30" t="str">
        <x:v>81-140</x:v>
      </x:c>
      <x:c r="F41" s="34" t="n">
        <x:v>80.5</x:v>
      </x:c>
      <x:c r="G41" s="34" t="n">
        <x:v>140.5</x:v>
      </x:c>
      <x:c r="H41" s="34" t="str">
        <x:v>&lt;50</x:v>
      </x:c>
      <x:c r="I41" s="34" t="n">
        <x:v>0</x:v>
      </x:c>
      <x:c r="J41" s="34" t="n">
        <x:v>49.5</x:v>
      </x:c>
      <x:c r="K41" s="34" t="n">
        <x:v>1.09</x:v>
      </x:c>
      <x:c r="L41" s="34" t="n">
        <x:v>0.8</x:v>
      </x:c>
      <x:c r="M41" s="34" t="n">
        <x:v>1.48</x:v>
      </x:c>
      <x:c r="N41" s="34" t="n">
        <x:f>XLOOKUP(D41,'Country Distributions'!$A$2:$A$10,'Country Distributions'!$C$2:$C$10)</x:f>
        <x:v>37</x:v>
      </x:c>
      <x:c r="O41" s="34" t="n">
        <x:f>XLOOKUP(D41,'Country Distributions'!$A$2:$A$10,'Country Distributions'!$D$2:$D$10)</x:f>
        <x:v>2</x:v>
      </x:c>
      <x:c r="P41" s="34" t="n">
        <x:f>LN(K41)</x:f>
        <x:v>0.0861776962410524</x:v>
      </x:c>
      <x:c r="Q41" s="34" t="n">
        <x:f>(LN(M41)-LN(L41))/3.92</x:f>
        <x:v>0.15693511201281465</x:v>
      </x:c>
      <x:c r="R41" s="34" t="n">
        <x:f>$N41*EXP(LN($O41)^2/2)*(IF(G41="",1,NORM.S.DIST((LN(G41)-LN($N41)-LN($O41)^2)/LN($O41),TRUE))-IF(F41=0,0,NORM.S.DIST((LN(F41)-LN($N41)-LN($O41)^2)/LN($O41),TRUE)))/(IF(G41="",1,NORM.S.DIST((LN(G41)-LN($N41))/LN($O41),TRUE))-IF(F41=0,0,NORM.S.DIST((LN(F41)-LN($N41))/LN($O41),TRUE)))</x:f>
        <x:v>101.94574242104335</x:v>
      </x:c>
      <x:c r="S41" s="34" t="n">
        <x:f>$N41*EXP(LN($O41)^2/2)*(IF(J41="",1,NORM.S.DIST((LN(J41)-LN($N41)-LN($O41)^2)/LN($O41),TRUE))-IF(I41=0,0,NORM.S.DIST((LN(I41)-LN($N41)-LN($O41)^2)/LN($O41),TRUE)))/(IF(J41="",1,NORM.S.DIST((LN(J41)-LN($N41))/LN($O41),TRUE))-IF(I41=0,0,NORM.S.DIST((LN(I41)-LN($N41))/LN($O41),TRUE)))</x:f>
        <x:v>27.851853828075026</x:v>
      </x:c>
      <x:c r="T41" s="34" t="n">
        <x:f>R41-S41</x:f>
        <x:v>74.09388859296833</x:v>
      </x:c>
      <x:c r="U41" s="34" t="n">
        <x:f>IF(G41="",1.2*F41,(F41+G41)/2)</x:f>
        <x:v>110.5</x:v>
      </x:c>
      <x:c r="V41" s="34" t="n">
        <x:f>IF(J41="",1.2*I41,(I41+J41)/2)</x:f>
        <x:v>24.75</x:v>
      </x:c>
      <x:c r="W41" s="34" t="n">
        <x:f>U41-V41</x:f>
        <x:v>85.75</x:v>
      </x:c>
      <x:c r="X41" s="30" t="str">
        <x:v>https://www.scielosp.org/pdf/bwho/2003.v81n10/732-738/en</x:v>
      </x:c>
      <x:c r="Y41" s="30" t="str"/>
    </x:row>
    <x:row r="42" ht="15" hidden="0" customHeight="1">
      <x:c r="A42" s="30" t="str">
        <x:v>Kreienbrock2001</x:v>
      </x:c>
      <x:c r="B42" s="30" t="str">
        <x:v>Kreienbrock et al.</x:v>
      </x:c>
      <x:c r="C42" s="30" t="n">
        <x:v>2001</x:v>
      </x:c>
      <x:c r="D42" s="30" t="str">
        <x:v>Germany</x:v>
      </x:c>
      <x:c r="E42" s="30" t="str">
        <x:v>&gt;140</x:v>
      </x:c>
      <x:c r="F42" s="34" t="n">
        <x:v>140.5</x:v>
      </x:c>
      <x:c r="G42" s="34"/>
      <x:c r="H42" s="34" t="str">
        <x:v>&lt;50</x:v>
      </x:c>
      <x:c r="I42" s="34" t="n">
        <x:v>0</x:v>
      </x:c>
      <x:c r="J42" s="34" t="n">
        <x:v>49.5</x:v>
      </x:c>
      <x:c r="K42" s="34" t="n">
        <x:v>0.99</x:v>
      </x:c>
      <x:c r="L42" s="34" t="n">
        <x:v>0.61</x:v>
      </x:c>
      <x:c r="M42" s="34" t="n">
        <x:v>1.63</x:v>
      </x:c>
      <x:c r="N42" s="34" t="n">
        <x:f>XLOOKUP(D42,'Country Distributions'!$A$2:$A$10,'Country Distributions'!$C$2:$C$10)</x:f>
        <x:v>37</x:v>
      </x:c>
      <x:c r="O42" s="34" t="n">
        <x:f>XLOOKUP(D42,'Country Distributions'!$A$2:$A$10,'Country Distributions'!$D$2:$D$10)</x:f>
        <x:v>2</x:v>
      </x:c>
      <x:c r="P42" s="34" t="n">
        <x:f>LN(K42)</x:f>
        <x:v>-0.01005033585350145</x:v>
      </x:c>
      <x:c r="Q42" s="34" t="n">
        <x:f>(LN(M42)-LN(L42))/3.92</x:f>
        <x:v>0.2507337593452681</x:v>
      </x:c>
      <x:c r="R42" s="34" t="n">
        <x:f>$N42*EXP(LN($O42)^2/2)*(IF(G42="",1,NORM.S.DIST((LN(G42)-LN($N42)-LN($O42)^2)/LN($O42),TRUE))-IF(F42=0,0,NORM.S.DIST((LN(F42)-LN($N42)-LN($O42)^2)/LN($O42),TRUE)))/(IF(G42="",1,NORM.S.DIST((LN(G42)-LN($N42))/LN($O42),TRUE))-IF(F42=0,0,NORM.S.DIST((LN(F42)-LN($N42))/LN($O42),TRUE)))</x:f>
        <x:v>189.12717568508182</x:v>
      </x:c>
      <x:c r="S42" s="34" t="n">
        <x:f>$N42*EXP(LN($O42)^2/2)*(IF(J42="",1,NORM.S.DIST((LN(J42)-LN($N42)-LN($O42)^2)/LN($O42),TRUE))-IF(I42=0,0,NORM.S.DIST((LN(I42)-LN($N42)-LN($O42)^2)/LN($O42),TRUE)))/(IF(J42="",1,NORM.S.DIST((LN(J42)-LN($N42))/LN($O42),TRUE))-IF(I42=0,0,NORM.S.DIST((LN(I42)-LN($N42))/LN($O42),TRUE)))</x:f>
        <x:v>27.851853828075026</x:v>
      </x:c>
      <x:c r="T42" s="34" t="n">
        <x:f>R42-S42</x:f>
        <x:v>161.2753218570068</x:v>
      </x:c>
      <x:c r="U42" s="34" t="n">
        <x:f>IF(G42="",1.2*F42,(F42+G42)/2)</x:f>
        <x:v>168.6</x:v>
      </x:c>
      <x:c r="V42" s="34" t="n">
        <x:f>IF(J42="",1.2*I42,(I42+J42)/2)</x:f>
        <x:v>24.75</x:v>
      </x:c>
      <x:c r="W42" s="34" t="n">
        <x:f>U42-V42</x:f>
        <x:v>143.85</x:v>
      </x:c>
      <x:c r="X42" s="30" t="str">
        <x:v>https://www.scielosp.org/pdf/bwho/2003.v81n10/732-738/en</x:v>
      </x:c>
      <x:c r="Y42" s="30" t="str">
        <x:v>Right-unbounded comparison support</x:v>
      </x:c>
    </x:row>
    <x:row r="43" ht="15" hidden="0" customHeight="1">
      <x:c r="A43" s="30" t="str">
        <x:v>Lagarde2001</x:v>
      </x:c>
      <x:c r="B43" s="30" t="str">
        <x:v>Lagarde et al.</x:v>
      </x:c>
      <x:c r="C43" s="30" t="n">
        <x:v>2001</x:v>
      </x:c>
      <x:c r="D43" s="30" t="str">
        <x:v>Sweden</x:v>
      </x:c>
      <x:c r="E43" s="30" t="str">
        <x:v>50-80</x:v>
      </x:c>
      <x:c r="F43" s="34" t="n">
        <x:v>49.5</x:v>
      </x:c>
      <x:c r="G43" s="34" t="n">
        <x:v>80.5</x:v>
      </x:c>
      <x:c r="H43" s="34" t="str">
        <x:v>&lt;50</x:v>
      </x:c>
      <x:c r="I43" s="34" t="n">
        <x:v>0</x:v>
      </x:c>
      <x:c r="J43" s="34" t="n">
        <x:v>49.5</x:v>
      </x:c>
      <x:c r="K43" s="34" t="n">
        <x:v>1.03</x:v>
      </x:c>
      <x:c r="L43" s="34" t="n">
        <x:v>0.67</x:v>
      </x:c>
      <x:c r="M43" s="34" t="n">
        <x:v>1.57</x:v>
      </x:c>
      <x:c r="N43" s="34" t="n">
        <x:f>XLOOKUP(D43,'Country Distributions'!$A$2:$A$10,'Country Distributions'!$C$2:$C$10)</x:f>
        <x:v>56</x:v>
      </x:c>
      <x:c r="O43" s="34" t="n">
        <x:f>XLOOKUP(D43,'Country Distributions'!$A$2:$A$10,'Country Distributions'!$D$2:$D$10)</x:f>
        <x:v>3.1459189700020884</x:v>
      </x:c>
      <x:c r="P43" s="34" t="n">
        <x:f>LN(K43)</x:f>
        <x:v>0.02955880224154443</x:v>
      </x:c>
      <x:c r="Q43" s="34" t="n">
        <x:f>(LN(M43)-LN(L43))/3.92</x:f>
        <x:v>0.21723295560136274</x:v>
      </x:c>
      <x:c r="R43" s="34" t="n">
        <x:f>$N43*EXP(LN($O43)^2/2)*(IF(G43="",1,NORM.S.DIST((LN(G43)-LN($N43)-LN($O43)^2)/LN($O43),TRUE))-IF(F43=0,0,NORM.S.DIST((LN(F43)-LN($N43)-LN($O43)^2)/LN($O43),TRUE)))/(IF(G43="",1,NORM.S.DIST((LN(G43)-LN($N43))/LN($O43),TRUE))-IF(F43=0,0,NORM.S.DIST((LN(F43)-LN($N43))/LN($O43),TRUE)))</x:f>
        <x:v>63.63158976647085</x:v>
      </x:c>
      <x:c r="S43" s="34" t="n">
        <x:f>$N43*EXP(LN($O43)^2/2)*(IF(J43="",1,NORM.S.DIST((LN(J43)-LN($N43)-LN($O43)^2)/LN($O43),TRUE))-IF(I43=0,0,NORM.S.DIST((LN(I43)-LN($N43)-LN($O43)^2)/LN($O43),TRUE)))/(IF(J43="",1,NORM.S.DIST((LN(J43)-LN($N43))/LN($O43),TRUE))-IF(I43=0,0,NORM.S.DIST((LN(I43)-LN($N43))/LN($O43),TRUE)))</x:f>
        <x:v>24.798385283086596</x:v>
      </x:c>
      <x:c r="T43" s="34" t="n">
        <x:f>R43-S43</x:f>
        <x:v>38.83320448338426</x:v>
      </x:c>
      <x:c r="U43" s="34" t="n">
        <x:f>IF(G43="",1.2*F43,(F43+G43)/2)</x:f>
        <x:v>65</x:v>
      </x:c>
      <x:c r="V43" s="34" t="n">
        <x:f>IF(J43="",1.2*I43,(I43+J43)/2)</x:f>
        <x:v>24.75</x:v>
      </x:c>
      <x:c r="W43" s="34" t="n">
        <x:f>U43-V43</x:f>
        <x:v>40.25</x:v>
      </x:c>
      <x:c r="X43" s="30" t="str">
        <x:v>https://www.scielosp.org/pdf/bwho/2003.v81n10/732-738/en</x:v>
      </x:c>
      <x:c r="Y43" s="30" t="str"/>
    </x:row>
    <x:row r="44" ht="15" hidden="0" customHeight="1">
      <x:c r="A44" s="30" t="str">
        <x:v>Lagarde2001</x:v>
      </x:c>
      <x:c r="B44" s="30" t="str">
        <x:v>Lagarde et al.</x:v>
      </x:c>
      <x:c r="C44" s="30" t="n">
        <x:v>2001</x:v>
      </x:c>
      <x:c r="D44" s="30" t="str">
        <x:v>Sweden</x:v>
      </x:c>
      <x:c r="E44" s="30" t="str">
        <x:v>81-140</x:v>
      </x:c>
      <x:c r="F44" s="34" t="n">
        <x:v>80.5</x:v>
      </x:c>
      <x:c r="G44" s="34" t="n">
        <x:v>140.5</x:v>
      </x:c>
      <x:c r="H44" s="34" t="str">
        <x:v>&lt;50</x:v>
      </x:c>
      <x:c r="I44" s="34" t="n">
        <x:v>0</x:v>
      </x:c>
      <x:c r="J44" s="34" t="n">
        <x:v>49.5</x:v>
      </x:c>
      <x:c r="K44" s="34" t="n">
        <x:v>1.14</x:v>
      </x:c>
      <x:c r="L44" s="34" t="n">
        <x:v>0.72</x:v>
      </x:c>
      <x:c r="M44" s="34" t="n">
        <x:v>1.8</x:v>
      </x:c>
      <x:c r="N44" s="34" t="n">
        <x:f>XLOOKUP(D44,'Country Distributions'!$A$2:$A$10,'Country Distributions'!$C$2:$C$10)</x:f>
        <x:v>56</x:v>
      </x:c>
      <x:c r="O44" s="34" t="n">
        <x:f>XLOOKUP(D44,'Country Distributions'!$A$2:$A$10,'Country Distributions'!$D$2:$D$10)</x:f>
        <x:v>3.1459189700020884</x:v>
      </x:c>
      <x:c r="P44" s="34" t="n">
        <x:f>LN(K44)</x:f>
        <x:v>0.131028262406404</x:v>
      </x:c>
      <x:c r="Q44" s="34" t="n">
        <x:f>(LN(M44)-LN(L44))/3.92</x:f>
        <x:v>0.23374763568218243</x:v>
      </x:c>
      <x:c r="R44" s="34" t="n">
        <x:f>$N44*EXP(LN($O44)^2/2)*(IF(G44="",1,NORM.S.DIST((LN(G44)-LN($N44)-LN($O44)^2)/LN($O44),TRUE))-IF(F44=0,0,NORM.S.DIST((LN(F44)-LN($N44)-LN($O44)^2)/LN($O44),TRUE)))/(IF(G44="",1,NORM.S.DIST((LN(G44)-LN($N44))/LN($O44),TRUE))-IF(F44=0,0,NORM.S.DIST((LN(F44)-LN($N44))/LN($O44),TRUE)))</x:f>
        <x:v>106.38159787052008</x:v>
      </x:c>
      <x:c r="S44" s="34" t="n">
        <x:f>$N44*EXP(LN($O44)^2/2)*(IF(J44="",1,NORM.S.DIST((LN(J44)-LN($N44)-LN($O44)^2)/LN($O44),TRUE))-IF(I44=0,0,NORM.S.DIST((LN(I44)-LN($N44)-LN($O44)^2)/LN($O44),TRUE)))/(IF(J44="",1,NORM.S.DIST((LN(J44)-LN($N44))/LN($O44),TRUE))-IF(I44=0,0,NORM.S.DIST((LN(I44)-LN($N44))/LN($O44),TRUE)))</x:f>
        <x:v>24.798385283086596</x:v>
      </x:c>
      <x:c r="T44" s="34" t="n">
        <x:f>R44-S44</x:f>
        <x:v>81.58321258743348</x:v>
      </x:c>
      <x:c r="U44" s="34" t="n">
        <x:f>IF(G44="",1.2*F44,(F44+G44)/2)</x:f>
        <x:v>110.5</x:v>
      </x:c>
      <x:c r="V44" s="34" t="n">
        <x:f>IF(J44="",1.2*I44,(I44+J44)/2)</x:f>
        <x:v>24.75</x:v>
      </x:c>
      <x:c r="W44" s="34" t="n">
        <x:f>U44-V44</x:f>
        <x:v>85.75</x:v>
      </x:c>
      <x:c r="X44" s="30" t="str">
        <x:v>https://www.scielosp.org/pdf/bwho/2003.v81n10/732-738/en</x:v>
      </x:c>
      <x:c r="Y44" s="30" t="str"/>
    </x:row>
    <x:row r="45" ht="15" hidden="0" customHeight="1">
      <x:c r="A45" s="30" t="str">
        <x:v>Lagarde2001</x:v>
      </x:c>
      <x:c r="B45" s="30" t="str">
        <x:v>Lagarde et al.</x:v>
      </x:c>
      <x:c r="C45" s="30" t="n">
        <x:v>2001</x:v>
      </x:c>
      <x:c r="D45" s="30" t="str">
        <x:v>Sweden</x:v>
      </x:c>
      <x:c r="E45" s="30" t="str">
        <x:v>&gt;140</x:v>
      </x:c>
      <x:c r="F45" s="34" t="n">
        <x:v>140.5</x:v>
      </x:c>
      <x:c r="G45" s="34"/>
      <x:c r="H45" s="34" t="str">
        <x:v>&lt;50</x:v>
      </x:c>
      <x:c r="I45" s="34" t="n">
        <x:v>0</x:v>
      </x:c>
      <x:c r="J45" s="34" t="n">
        <x:v>49.5</x:v>
      </x:c>
      <x:c r="K45" s="34" t="n">
        <x:v>1.65</x:v>
      </x:c>
      <x:c r="L45" s="34" t="n">
        <x:v>0.88</x:v>
      </x:c>
      <x:c r="M45" s="34" t="n">
        <x:v>2.7</x:v>
      </x:c>
      <x:c r="N45" s="34" t="n">
        <x:f>XLOOKUP(D45,'Country Distributions'!$A$2:$A$10,'Country Distributions'!$C$2:$C$10)</x:f>
        <x:v>56</x:v>
      </x:c>
      <x:c r="O45" s="34" t="n">
        <x:f>XLOOKUP(D45,'Country Distributions'!$A$2:$A$10,'Country Distributions'!$D$2:$D$10)</x:f>
        <x:v>3.1459189700020884</x:v>
      </x:c>
      <x:c r="P45" s="34" t="n">
        <x:f>LN(K45)</x:f>
        <x:v>0.5007752879124892</x:v>
      </x:c>
      <x:c r="Q45" s="34" t="n">
        <x:f>(LN(M45)-LN(L45))/3.92</x:f>
        <x:v>0.2859911082959613</x:v>
      </x:c>
      <x:c r="R45" s="34" t="n">
        <x:f>$N45*EXP(LN($O45)^2/2)*(IF(G45="",1,NORM.S.DIST((LN(G45)-LN($N45)-LN($O45)^2)/LN($O45),TRUE))-IF(F45=0,0,NORM.S.DIST((LN(F45)-LN($N45)-LN($O45)^2)/LN($O45),TRUE)))/(IF(G45="",1,NORM.S.DIST((LN(G45)-LN($N45))/LN($O45),TRUE))-IF(F45=0,0,NORM.S.DIST((LN(F45)-LN($N45))/LN($O45),TRUE)))</x:f>
        <x:v>324.551666534289</x:v>
      </x:c>
      <x:c r="S45" s="34" t="n">
        <x:f>$N45*EXP(LN($O45)^2/2)*(IF(J45="",1,NORM.S.DIST((LN(J45)-LN($N45)-LN($O45)^2)/LN($O45),TRUE))-IF(I45=0,0,NORM.S.DIST((LN(I45)-LN($N45)-LN($O45)^2)/LN($O45),TRUE)))/(IF(J45="",1,NORM.S.DIST((LN(J45)-LN($N45))/LN($O45),TRUE))-IF(I45=0,0,NORM.S.DIST((LN(I45)-LN($N45))/LN($O45),TRUE)))</x:f>
        <x:v>24.798385283086596</x:v>
      </x:c>
      <x:c r="T45" s="34" t="n">
        <x:f>R45-S45</x:f>
        <x:v>299.7532812512024</x:v>
      </x:c>
      <x:c r="U45" s="34" t="n">
        <x:f>IF(G45="",1.2*F45,(F45+G45)/2)</x:f>
        <x:v>168.6</x:v>
      </x:c>
      <x:c r="V45" s="34" t="n">
        <x:f>IF(J45="",1.2*I45,(I45+J45)/2)</x:f>
        <x:v>24.75</x:v>
      </x:c>
      <x:c r="W45" s="34" t="n">
        <x:f>U45-V45</x:f>
        <x:v>143.85</x:v>
      </x:c>
      <x:c r="X45" s="30" t="str">
        <x:v>https://www.scielosp.org/pdf/bwho/2003.v81n10/732-738/en</x:v>
      </x:c>
      <x:c r="Y45" s="30" t="str">
        <x:v>Right-unbounded comparison support</x:v>
      </x:c>
    </x:row>
    <x:row r="46" ht="15" hidden="0" customHeight="1">
      <x:c r="A46" s="30" t="str">
        <x:v>Pisa2001</x:v>
      </x:c>
      <x:c r="B46" s="30" t="str">
        <x:v>Pisa et al.</x:v>
      </x:c>
      <x:c r="C46" s="30" t="n">
        <x:v>2001</x:v>
      </x:c>
      <x:c r="D46" s="30" t="str">
        <x:v>Italy</x:v>
      </x:c>
      <x:c r="E46" s="30" t="str">
        <x:v>40-76</x:v>
      </x:c>
      <x:c r="F46" s="34" t="n">
        <x:v>39.5</x:v>
      </x:c>
      <x:c r="G46" s="34" t="n">
        <x:v>76.5</x:v>
      </x:c>
      <x:c r="H46" s="34" t="str">
        <x:v>&lt;40</x:v>
      </x:c>
      <x:c r="I46" s="34" t="n">
        <x:v>0</x:v>
      </x:c>
      <x:c r="J46" s="34" t="n">
        <x:v>39.5</x:v>
      </x:c>
      <x:c r="K46" s="34" t="n">
        <x:v>2</x:v>
      </x:c>
      <x:c r="L46" s="34" t="n">
        <x:v>1</x:v>
      </x:c>
      <x:c r="M46" s="34" t="n">
        <x:v>3.9</x:v>
      </x:c>
      <x:c r="N46" s="34" t="n">
        <x:f>XLOOKUP(D46,'Country Distributions'!$A$2:$A$10,'Country Distributions'!$C$2:$C$10)</x:f>
        <x:v>52</x:v>
      </x:c>
      <x:c r="O46" s="34" t="n">
        <x:f>XLOOKUP(D46,'Country Distributions'!$A$2:$A$10,'Country Distributions'!$D$2:$D$10)</x:f>
        <x:v>2.1</x:v>
      </x:c>
      <x:c r="P46" s="34" t="n">
        <x:f>LN(K46)</x:f>
        <x:v>0.6931471805599453</x:v>
      </x:c>
      <x:c r="Q46" s="34" t="n">
        <x:f>(LN(M46)-LN(L46))/3.92</x:f>
        <x:v>0.3471878962080614</x:v>
      </x:c>
      <x:c r="R46" s="34" t="n">
        <x:f>$N46*EXP(LN($O46)^2/2)*(IF(G46="",1,NORM.S.DIST((LN(G46)-LN($N46)-LN($O46)^2)/LN($O46),TRUE))-IF(F46=0,0,NORM.S.DIST((LN(F46)-LN($N46)-LN($O46)^2)/LN($O46),TRUE)))/(IF(G46="",1,NORM.S.DIST((LN(G46)-LN($N46))/LN($O46),TRUE))-IF(F46=0,0,NORM.S.DIST((LN(F46)-LN($N46))/LN($O46),TRUE)))</x:f>
        <x:v>55.75155236524863</x:v>
      </x:c>
      <x:c r="S46" s="34" t="n">
        <x:f>$N46*EXP(LN($O46)^2/2)*(IF(J46="",1,NORM.S.DIST((LN(J46)-LN($N46)-LN($O46)^2)/LN($O46),TRUE))-IF(I46=0,0,NORM.S.DIST((LN(I46)-LN($N46)-LN($O46)^2)/LN($O46),TRUE)))/(IF(J46="",1,NORM.S.DIST((LN(J46)-LN($N46))/LN($O46),TRUE))-IF(I46=0,0,NORM.S.DIST((LN(I46)-LN($N46))/LN($O46),TRUE)))</x:f>
        <x:v>25.6119581259532</x:v>
      </x:c>
      <x:c r="T46" s="34" t="n">
        <x:f>R46-S46</x:f>
        <x:v>30.139594239295427</x:v>
      </x:c>
      <x:c r="U46" s="34" t="n">
        <x:f>IF(G46="",1.2*F46,(F46+G46)/2)</x:f>
        <x:v>58</x:v>
      </x:c>
      <x:c r="V46" s="34" t="n">
        <x:f>IF(J46="",1.2*I46,(I46+J46)/2)</x:f>
        <x:v>19.75</x:v>
      </x:c>
      <x:c r="W46" s="34" t="n">
        <x:f>U46-V46</x:f>
        <x:v>38.25</x:v>
      </x:c>
      <x:c r="X46" s="30" t="str">
        <x:v>https://www.scielosp.org/pdf/bwho/2003.v81n10/732-738/en</x:v>
      </x:c>
      <x:c r="Y46" s="30" t="str"/>
    </x:row>
    <x:row r="47" ht="15" hidden="0" customHeight="1">
      <x:c r="A47" s="30" t="str">
        <x:v>Pisa2001</x:v>
      </x:c>
      <x:c r="B47" s="30" t="str">
        <x:v>Pisa et al.</x:v>
      </x:c>
      <x:c r="C47" s="30" t="n">
        <x:v>2001</x:v>
      </x:c>
      <x:c r="D47" s="30" t="str">
        <x:v>Italy</x:v>
      </x:c>
      <x:c r="E47" s="30" t="str">
        <x:v>77-139</x:v>
      </x:c>
      <x:c r="F47" s="34" t="n">
        <x:v>76.5</x:v>
      </x:c>
      <x:c r="G47" s="34" t="n">
        <x:v>139.5</x:v>
      </x:c>
      <x:c r="H47" s="34" t="str">
        <x:v>&lt;40</x:v>
      </x:c>
      <x:c r="I47" s="34" t="n">
        <x:v>0</x:v>
      </x:c>
      <x:c r="J47" s="34" t="n">
        <x:v>39.5</x:v>
      </x:c>
      <x:c r="K47" s="34" t="n">
        <x:v>1.8</x:v>
      </x:c>
      <x:c r="L47" s="34" t="n">
        <x:v>0.9</x:v>
      </x:c>
      <x:c r="M47" s="34" t="n">
        <x:v>6.2</x:v>
      </x:c>
      <x:c r="N47" s="34" t="n">
        <x:f>XLOOKUP(D47,'Country Distributions'!$A$2:$A$10,'Country Distributions'!$C$2:$C$10)</x:f>
        <x:v>52</x:v>
      </x:c>
      <x:c r="O47" s="34" t="n">
        <x:f>XLOOKUP(D47,'Country Distributions'!$A$2:$A$10,'Country Distributions'!$D$2:$D$10)</x:f>
        <x:v>2.1</x:v>
      </x:c>
      <x:c r="P47" s="34" t="n">
        <x:f>LN(K47)</x:f>
        <x:v>0.5877866649021191</x:v>
      </x:c>
      <x:c r="Q47" s="34" t="n">
        <x:f>(LN(M47)-LN(L47))/3.92</x:f>
        <x:v>0.49232393053797757</x:v>
      </x:c>
      <x:c r="R47" s="34" t="n">
        <x:f>$N47*EXP(LN($O47)^2/2)*(IF(G47="",1,NORM.S.DIST((LN(G47)-LN($N47)-LN($O47)^2)/LN($O47),TRUE))-IF(F47=0,0,NORM.S.DIST((LN(F47)-LN($N47)-LN($O47)^2)/LN($O47),TRUE)))/(IF(G47="",1,NORM.S.DIST((LN(G47)-LN($N47))/LN($O47),TRUE))-IF(F47=0,0,NORM.S.DIST((LN(F47)-LN($N47))/LN($O47),TRUE)))</x:f>
        <x:v>101.06853643448065</x:v>
      </x:c>
      <x:c r="S47" s="34" t="n">
        <x:f>$N47*EXP(LN($O47)^2/2)*(IF(J47="",1,NORM.S.DIST((LN(J47)-LN($N47)-LN($O47)^2)/LN($O47),TRUE))-IF(I47=0,0,NORM.S.DIST((LN(I47)-LN($N47)-LN($O47)^2)/LN($O47),TRUE)))/(IF(J47="",1,NORM.S.DIST((LN(J47)-LN($N47))/LN($O47),TRUE))-IF(I47=0,0,NORM.S.DIST((LN(I47)-LN($N47))/LN($O47),TRUE)))</x:f>
        <x:v>25.6119581259532</x:v>
      </x:c>
      <x:c r="T47" s="34" t="n">
        <x:f>R47-S47</x:f>
        <x:v>75.45657830852744</x:v>
      </x:c>
      <x:c r="U47" s="34" t="n">
        <x:f>IF(G47="",1.2*F47,(F47+G47)/2)</x:f>
        <x:v>108</x:v>
      </x:c>
      <x:c r="V47" s="34" t="n">
        <x:f>IF(J47="",1.2*I47,(I47+J47)/2)</x:f>
        <x:v>19.75</x:v>
      </x:c>
      <x:c r="W47" s="34" t="n">
        <x:f>U47-V47</x:f>
        <x:v>88.25</x:v>
      </x:c>
      <x:c r="X47" s="30" t="str">
        <x:v>https://www.scielosp.org/pdf/bwho/2003.v81n10/732-738/en</x:v>
      </x:c>
      <x:c r="Y47" s="30" t="str"/>
    </x:row>
    <x:row r="48" ht="15" hidden="0" customHeight="1">
      <x:c r="A48" s="30" t="str">
        <x:v>Pisa2001</x:v>
      </x:c>
      <x:c r="B48" s="30" t="str">
        <x:v>Pisa et al.</x:v>
      </x:c>
      <x:c r="C48" s="30" t="n">
        <x:v>2001</x:v>
      </x:c>
      <x:c r="D48" s="30" t="str">
        <x:v>Italy</x:v>
      </x:c>
      <x:c r="E48" s="30" t="str">
        <x:v>140-199</x:v>
      </x:c>
      <x:c r="F48" s="34" t="n">
        <x:v>139.5</x:v>
      </x:c>
      <x:c r="G48" s="34" t="n">
        <x:v>199.5</x:v>
      </x:c>
      <x:c r="H48" s="34" t="str">
        <x:v>&lt;40</x:v>
      </x:c>
      <x:c r="I48" s="34" t="n">
        <x:v>0</x:v>
      </x:c>
      <x:c r="J48" s="34" t="n">
        <x:v>39.5</x:v>
      </x:c>
      <x:c r="K48" s="34" t="n">
        <x:v>2.4</x:v>
      </x:c>
      <x:c r="L48" s="34" t="n">
        <x:v>0.9</x:v>
      </x:c>
      <x:c r="M48" s="34" t="n">
        <x:v>6.2</x:v>
      </x:c>
      <x:c r="N48" s="34" t="n">
        <x:f>XLOOKUP(D48,'Country Distributions'!$A$2:$A$10,'Country Distributions'!$C$2:$C$10)</x:f>
        <x:v>52</x:v>
      </x:c>
      <x:c r="O48" s="34" t="n">
        <x:f>XLOOKUP(D48,'Country Distributions'!$A$2:$A$10,'Country Distributions'!$D$2:$D$10)</x:f>
        <x:v>2.1</x:v>
      </x:c>
      <x:c r="P48" s="34" t="n">
        <x:f>LN(K48)</x:f>
        <x:v>0.8754687373538999</x:v>
      </x:c>
      <x:c r="Q48" s="34" t="n">
        <x:f>(LN(M48)-LN(L48))/3.92</x:f>
        <x:v>0.49232393053797757</x:v>
      </x:c>
      <x:c r="R48" s="34" t="n">
        <x:f>$N48*EXP(LN($O48)^2/2)*(IF(G48="",1,NORM.S.DIST((LN(G48)-LN($N48)-LN($O48)^2)/LN($O48),TRUE))-IF(F48=0,0,NORM.S.DIST((LN(F48)-LN($N48)-LN($O48)^2)/LN($O48),TRUE)))/(IF(G48="",1,NORM.S.DIST((LN(G48)-LN($N48))/LN($O48),TRUE))-IF(F48=0,0,NORM.S.DIST((LN(F48)-LN($N48))/LN($O48),TRUE)))</x:f>
        <x:v>164.00915694737947</x:v>
      </x:c>
      <x:c r="S48" s="34" t="n">
        <x:f>$N48*EXP(LN($O48)^2/2)*(IF(J48="",1,NORM.S.DIST((LN(J48)-LN($N48)-LN($O48)^2)/LN($O48),TRUE))-IF(I48=0,0,NORM.S.DIST((LN(I48)-LN($N48)-LN($O48)^2)/LN($O48),TRUE)))/(IF(J48="",1,NORM.S.DIST((LN(J48)-LN($N48))/LN($O48),TRUE))-IF(I48=0,0,NORM.S.DIST((LN(I48)-LN($N48))/LN($O48),TRUE)))</x:f>
        <x:v>25.6119581259532</x:v>
      </x:c>
      <x:c r="T48" s="34" t="n">
        <x:f>R48-S48</x:f>
        <x:v>138.39719882142626</x:v>
      </x:c>
      <x:c r="U48" s="34" t="n">
        <x:f>IF(G48="",1.2*F48,(F48+G48)/2)</x:f>
        <x:v>169.5</x:v>
      </x:c>
      <x:c r="V48" s="34" t="n">
        <x:f>IF(J48="",1.2*I48,(I48+J48)/2)</x:f>
        <x:v>19.75</x:v>
      </x:c>
      <x:c r="W48" s="34" t="n">
        <x:f>U48-V48</x:f>
        <x:v>149.75</x:v>
      </x:c>
      <x:c r="X48" s="30" t="str">
        <x:v>https://www.scielosp.org/pdf/bwho/2003.v81n10/732-738/en</x:v>
      </x:c>
      <x:c r="Y48" s="30" t="str"/>
    </x:row>
    <x:row r="49" ht="15" hidden="0" customHeight="1">
      <x:c r="A49" s="30" t="str">
        <x:v>Pisa2001</x:v>
      </x:c>
      <x:c r="B49" s="30" t="str">
        <x:v>Pisa et al.</x:v>
      </x:c>
      <x:c r="C49" s="30" t="n">
        <x:v>2001</x:v>
      </x:c>
      <x:c r="D49" s="30" t="str">
        <x:v>Italy</x:v>
      </x:c>
      <x:c r="E49" s="30" t="str">
        <x:v>&gt;=200</x:v>
      </x:c>
      <x:c r="F49" s="34" t="n">
        <x:v>199.5</x:v>
      </x:c>
      <x:c r="G49" s="34"/>
      <x:c r="H49" s="34" t="str">
        <x:v>&lt;40</x:v>
      </x:c>
      <x:c r="I49" s="34" t="n">
        <x:v>0</x:v>
      </x:c>
      <x:c r="J49" s="34" t="n">
        <x:v>39.5</x:v>
      </x:c>
      <x:c r="K49" s="34" t="n">
        <x:v>1</x:v>
      </x:c>
      <x:c r="L49" s="34" t="n">
        <x:v>0.3</x:v>
      </x:c>
      <x:c r="M49" s="34" t="n">
        <x:v>3.1</x:v>
      </x:c>
      <x:c r="N49" s="34" t="n">
        <x:f>XLOOKUP(D49,'Country Distributions'!$A$2:$A$10,'Country Distributions'!$C$2:$C$10)</x:f>
        <x:v>52</x:v>
      </x:c>
      <x:c r="O49" s="34" t="n">
        <x:f>XLOOKUP(D49,'Country Distributions'!$A$2:$A$10,'Country Distributions'!$D$2:$D$10)</x:f>
        <x:v>2.1</x:v>
      </x:c>
      <x:c r="P49" s="34" t="n">
        <x:f>LN(K49)</x:f>
        <x:v>0</x:v>
      </x:c>
      <x:c r="Q49" s="34" t="n">
        <x:f>(LN(M49)-LN(L49))/3.92</x:f>
        <x:v>0.5957589070961828</x:v>
      </x:c>
      <x:c r="R49" s="34" t="n">
        <x:f>$N49*EXP(LN($O49)^2/2)*(IF(G49="",1,NORM.S.DIST((LN(G49)-LN($N49)-LN($O49)^2)/LN($O49),TRUE))-IF(F49=0,0,NORM.S.DIST((LN(F49)-LN($N49)-LN($O49)^2)/LN($O49),TRUE)))/(IF(G49="",1,NORM.S.DIST((LN(G49)-LN($N49))/LN($O49),TRUE))-IF(F49=0,0,NORM.S.DIST((LN(F49)-LN($N49))/LN($O49),TRUE)))</x:f>
        <x:v>278.49124403175443</x:v>
      </x:c>
      <x:c r="S49" s="34" t="n">
        <x:f>$N49*EXP(LN($O49)^2/2)*(IF(J49="",1,NORM.S.DIST((LN(J49)-LN($N49)-LN($O49)^2)/LN($O49),TRUE))-IF(I49=0,0,NORM.S.DIST((LN(I49)-LN($N49)-LN($O49)^2)/LN($O49),TRUE)))/(IF(J49="",1,NORM.S.DIST((LN(J49)-LN($N49))/LN($O49),TRUE))-IF(I49=0,0,NORM.S.DIST((LN(I49)-LN($N49))/LN($O49),TRUE)))</x:f>
        <x:v>25.6119581259532</x:v>
      </x:c>
      <x:c r="T49" s="34" t="n">
        <x:f>R49-S49</x:f>
        <x:v>252.87928590580123</x:v>
      </x:c>
      <x:c r="U49" s="34" t="n">
        <x:f>IF(G49="",1.2*F49,(F49+G49)/2)</x:f>
        <x:v>239.39999999999998</x:v>
      </x:c>
      <x:c r="V49" s="34" t="n">
        <x:f>IF(J49="",1.2*I49,(I49+J49)/2)</x:f>
        <x:v>19.75</x:v>
      </x:c>
      <x:c r="W49" s="34" t="n">
        <x:f>U49-V49</x:f>
        <x:v>219.64999999999998</x:v>
      </x:c>
      <x:c r="X49" s="30" t="str">
        <x:v>https://www.scielosp.org/pdf/bwho/2003.v81n10/732-738/en</x:v>
      </x:c>
      <x:c r="Y49" s="30" t="str">
        <x:v>Right-unbounded comparison support</x:v>
      </x:c>
    </x:row>
    <x:row r="50" ht="15" hidden="0" customHeight="1">
      <x:c r="A50" s="30" t="str">
        <x:v>Wang2002</x:v>
      </x:c>
      <x:c r="B50" s="30" t="str">
        <x:v>Wang et al.</x:v>
      </x:c>
      <x:c r="C50" s="30" t="n">
        <x:v>2002</x:v>
      </x:c>
      <x:c r="D50" s="30" t="str">
        <x:v>China</x:v>
      </x:c>
      <x:c r="E50" s="30" t="str">
        <x:v>100-149</x:v>
      </x:c>
      <x:c r="F50" s="34" t="n">
        <x:v>99.5</x:v>
      </x:c>
      <x:c r="G50" s="34" t="n">
        <x:v>149.5</x:v>
      </x:c>
      <x:c r="H50" s="34" t="str">
        <x:v>&lt;100</x:v>
      </x:c>
      <x:c r="I50" s="34" t="n">
        <x:v>0</x:v>
      </x:c>
      <x:c r="J50" s="34" t="n">
        <x:v>99.5</x:v>
      </x:c>
      <x:c r="K50" s="34" t="n">
        <x:v>1</x:v>
      </x:c>
      <x:c r="L50" s="34" t="n">
        <x:v>0.7</x:v>
      </x:c>
      <x:c r="M50" s="34" t="n">
        <x:v>1.5</x:v>
      </x:c>
      <x:c r="N50" s="34" t="n">
        <x:f>XLOOKUP(D50,'Country Distributions'!$A$2:$A$10,'Country Distributions'!$C$2:$C$10)</x:f>
        <x:v>20</x:v>
      </x:c>
      <x:c r="O50" s="34" t="n">
        <x:f>XLOOKUP(D50,'Country Distributions'!$A$2:$A$10,'Country Distributions'!$D$2:$D$10)</x:f>
        <x:v>2.2</x:v>
      </x:c>
      <x:c r="P50" s="34" t="n">
        <x:f>LN(K50)</x:f>
        <x:v>0</x:v>
      </x:c>
      <x:c r="Q50" s="34" t="n">
        <x:f>(LN(M50)-LN(L50))/3.92</x:f>
        <x:v>0.1944234826650247</x:v>
      </x:c>
      <x:c r="R50" s="34" t="n">
        <x:f>$N50*EXP(LN($O50)^2/2)*(IF(G50="",1,NORM.S.DIST((LN(G50)-LN($N50)-LN($O50)^2)/LN($O50),TRUE))-IF(F50=0,0,NORM.S.DIST((LN(F50)-LN($N50)-LN($O50)^2)/LN($O50),TRUE)))/(IF(G50="",1,NORM.S.DIST((LN(G50)-LN($N50))/LN($O50),TRUE))-IF(F50=0,0,NORM.S.DIST((LN(F50)-LN($N50))/LN($O50),TRUE)))</x:f>
        <x:v>118.0706947101185</x:v>
      </x:c>
      <x:c r="S50" s="34" t="n">
        <x:f>$N50*EXP(LN($O50)^2/2)*(IF(J50="",1,NORM.S.DIST((LN(J50)-LN($N50)-LN($O50)^2)/LN($O50),TRUE))-IF(I50=0,0,NORM.S.DIST((LN(I50)-LN($N50)-LN($O50)^2)/LN($O50),TRUE)))/(IF(J50="",1,NORM.S.DIST((LN(J50)-LN($N50))/LN($O50),TRUE))-IF(I50=0,0,NORM.S.DIST((LN(I50)-LN($N50))/LN($O50),TRUE)))</x:f>
        <x:v>24.91150909265102</x:v>
      </x:c>
      <x:c r="T50" s="34" t="n">
        <x:f>R50-S50</x:f>
        <x:v>93.15918561746749</x:v>
      </x:c>
      <x:c r="U50" s="34" t="n">
        <x:f>IF(G50="",1.2*F50,(F50+G50)/2)</x:f>
        <x:v>124.5</x:v>
      </x:c>
      <x:c r="V50" s="34" t="n">
        <x:f>IF(J50="",1.2*I50,(I50+J50)/2)</x:f>
        <x:v>49.75</x:v>
      </x:c>
      <x:c r="W50" s="34" t="n">
        <x:f>U50-V50</x:f>
        <x:v>74.75</x:v>
      </x:c>
      <x:c r="X50" s="30" t="str">
        <x:v>https://www.scielosp.org/pdf/bwho/2003.v81n10/732-738/en</x:v>
      </x:c>
      <x:c r="Y50" s="30" t="str"/>
    </x:row>
    <x:row r="51" ht="15" hidden="0" customHeight="1">
      <x:c r="A51" s="30" t="str">
        <x:v>Wang2002</x:v>
      </x:c>
      <x:c r="B51" s="30" t="str">
        <x:v>Wang et al.</x:v>
      </x:c>
      <x:c r="C51" s="30" t="n">
        <x:v>2002</x:v>
      </x:c>
      <x:c r="D51" s="30" t="str">
        <x:v>China</x:v>
      </x:c>
      <x:c r="E51" s="30" t="str">
        <x:v>150-199</x:v>
      </x:c>
      <x:c r="F51" s="34" t="n">
        <x:v>149.5</x:v>
      </x:c>
      <x:c r="G51" s="34" t="n">
        <x:v>199.5</x:v>
      </x:c>
      <x:c r="H51" s="34" t="str">
        <x:v>&lt;100</x:v>
      </x:c>
      <x:c r="I51" s="34" t="n">
        <x:v>0</x:v>
      </x:c>
      <x:c r="J51" s="34" t="n">
        <x:v>99.5</x:v>
      </x:c>
      <x:c r="K51" s="34" t="n">
        <x:v>1.42</x:v>
      </x:c>
      <x:c r="L51" s="34" t="n">
        <x:v>1</x:v>
      </x:c>
      <x:c r="M51" s="34" t="n">
        <x:v>2</x:v>
      </x:c>
      <x:c r="N51" s="34" t="n">
        <x:f>XLOOKUP(D51,'Country Distributions'!$A$2:$A$10,'Country Distributions'!$C$2:$C$10)</x:f>
        <x:v>20</x:v>
      </x:c>
      <x:c r="O51" s="34" t="n">
        <x:f>XLOOKUP(D51,'Country Distributions'!$A$2:$A$10,'Country Distributions'!$D$2:$D$10)</x:f>
        <x:v>2.2</x:v>
      </x:c>
      <x:c r="P51" s="34" t="n">
        <x:f>LN(K51)</x:f>
        <x:v>0.35065687161316933</x:v>
      </x:c>
      <x:c r="Q51" s="34" t="n">
        <x:f>(LN(M51)-LN(L51))/3.92</x:f>
        <x:v>0.17682326034692483</x:v>
      </x:c>
      <x:c r="R51" s="34" t="n">
        <x:f>$N51*EXP(LN($O51)^2/2)*(IF(G51="",1,NORM.S.DIST((LN(G51)-LN($N51)-LN($O51)^2)/LN($O51),TRUE))-IF(F51=0,0,NORM.S.DIST((LN(F51)-LN($N51)-LN($O51)^2)/LN($O51),TRUE)))/(IF(G51="",1,NORM.S.DIST((LN(G51)-LN($N51))/LN($O51),TRUE))-IF(F51=0,0,NORM.S.DIST((LN(F51)-LN($N51))/LN($O51),TRUE)))</x:f>
        <x:v>169.23875257643343</x:v>
      </x:c>
      <x:c r="S51" s="34" t="n">
        <x:f>$N51*EXP(LN($O51)^2/2)*(IF(J51="",1,NORM.S.DIST((LN(J51)-LN($N51)-LN($O51)^2)/LN($O51),TRUE))-IF(I51=0,0,NORM.S.DIST((LN(I51)-LN($N51)-LN($O51)^2)/LN($O51),TRUE)))/(IF(J51="",1,NORM.S.DIST((LN(J51)-LN($N51))/LN($O51),TRUE))-IF(I51=0,0,NORM.S.DIST((LN(I51)-LN($N51))/LN($O51),TRUE)))</x:f>
        <x:v>24.91150909265102</x:v>
      </x:c>
      <x:c r="T51" s="34" t="n">
        <x:f>R51-S51</x:f>
        <x:v>144.3272434837824</x:v>
      </x:c>
      <x:c r="U51" s="34" t="n">
        <x:f>IF(G51="",1.2*F51,(F51+G51)/2)</x:f>
        <x:v>174.5</x:v>
      </x:c>
      <x:c r="V51" s="34" t="n">
        <x:f>IF(J51="",1.2*I51,(I51+J51)/2)</x:f>
        <x:v>49.75</x:v>
      </x:c>
      <x:c r="W51" s="34" t="n">
        <x:f>U51-V51</x:f>
        <x:v>124.75</x:v>
      </x:c>
      <x:c r="X51" s="30" t="str">
        <x:v>https://www.scielosp.org/pdf/bwho/2003.v81n10/732-738/en</x:v>
      </x:c>
      <x:c r="Y51" s="30" t="str"/>
    </x:row>
    <x:row r="52" ht="15" hidden="0" customHeight="1">
      <x:c r="A52" s="30" t="str">
        <x:v>Wang2002</x:v>
      </x:c>
      <x:c r="B52" s="30" t="str">
        <x:v>Wang et al.</x:v>
      </x:c>
      <x:c r="C52" s="30" t="n">
        <x:v>2002</x:v>
      </x:c>
      <x:c r="D52" s="30" t="str">
        <x:v>China</x:v>
      </x:c>
      <x:c r="E52" s="30" t="str">
        <x:v>200-249</x:v>
      </x:c>
      <x:c r="F52" s="34" t="n">
        <x:v>199.5</x:v>
      </x:c>
      <x:c r="G52" s="34" t="n">
        <x:v>249.5</x:v>
      </x:c>
      <x:c r="H52" s="34" t="str">
        <x:v>&lt;100</x:v>
      </x:c>
      <x:c r="I52" s="34" t="n">
        <x:v>0</x:v>
      </x:c>
      <x:c r="J52" s="34" t="n">
        <x:v>99.5</x:v>
      </x:c>
      <x:c r="K52" s="34" t="n">
        <x:v>1.36</x:v>
      </x:c>
      <x:c r="L52" s="34" t="n">
        <x:v>1</x:v>
      </x:c>
      <x:c r="M52" s="34" t="n">
        <x:v>1.9</x:v>
      </x:c>
      <x:c r="N52" s="34" t="n">
        <x:f>XLOOKUP(D52,'Country Distributions'!$A$2:$A$10,'Country Distributions'!$C$2:$C$10)</x:f>
        <x:v>20</x:v>
      </x:c>
      <x:c r="O52" s="34" t="n">
        <x:f>XLOOKUP(D52,'Country Distributions'!$A$2:$A$10,'Country Distributions'!$D$2:$D$10)</x:f>
        <x:v>2.2</x:v>
      </x:c>
      <x:c r="P52" s="34" t="n">
        <x:f>LN(K52)</x:f>
        <x:v>0.3074846997479607</x:v>
      </x:c>
      <x:c r="Q52" s="34" t="n">
        <x:f>(LN(M52)-LN(L52))/3.92</x:f>
        <x:v>0.16373823626846803</x:v>
      </x:c>
      <x:c r="R52" s="34" t="n">
        <x:f>$N52*EXP(LN($O52)^2/2)*(IF(G52="",1,NORM.S.DIST((LN(G52)-LN($N52)-LN($O52)^2)/LN($O52),TRUE))-IF(F52=0,0,NORM.S.DIST((LN(F52)-LN($N52)-LN($O52)^2)/LN($O52),TRUE)))/(IF(G52="",1,NORM.S.DIST((LN(G52)-LN($N52))/LN($O52),TRUE))-IF(F52=0,0,NORM.S.DIST((LN(F52)-LN($N52))/LN($O52),TRUE)))</x:f>
        <x:v>220.0206446067907</x:v>
      </x:c>
      <x:c r="S52" s="34" t="n">
        <x:f>$N52*EXP(LN($O52)^2/2)*(IF(J52="",1,NORM.S.DIST((LN(J52)-LN($N52)-LN($O52)^2)/LN($O52),TRUE))-IF(I52=0,0,NORM.S.DIST((LN(I52)-LN($N52)-LN($O52)^2)/LN($O52),TRUE)))/(IF(J52="",1,NORM.S.DIST((LN(J52)-LN($N52))/LN($O52),TRUE))-IF(I52=0,0,NORM.S.DIST((LN(I52)-LN($N52))/LN($O52),TRUE)))</x:f>
        <x:v>24.91150909265102</x:v>
      </x:c>
      <x:c r="T52" s="34" t="n">
        <x:f>R52-S52</x:f>
        <x:v>195.1091355141397</x:v>
      </x:c>
      <x:c r="U52" s="34" t="n">
        <x:f>IF(G52="",1.2*F52,(F52+G52)/2)</x:f>
        <x:v>224.5</x:v>
      </x:c>
      <x:c r="V52" s="34" t="n">
        <x:f>IF(J52="",1.2*I52,(I52+J52)/2)</x:f>
        <x:v>49.75</x:v>
      </x:c>
      <x:c r="W52" s="34" t="n">
        <x:f>U52-V52</x:f>
        <x:v>174.75</x:v>
      </x:c>
      <x:c r="X52" s="30" t="str">
        <x:v>https://www.scielosp.org/pdf/bwho/2003.v81n10/732-738/en</x:v>
      </x:c>
      <x:c r="Y52" s="30" t="str"/>
    </x:row>
    <x:row r="53" ht="15" hidden="0" customHeight="1">
      <x:c r="A53" s="30" t="str">
        <x:v>Wang2002</x:v>
      </x:c>
      <x:c r="B53" s="30" t="str">
        <x:v>Wang et al.</x:v>
      </x:c>
      <x:c r="C53" s="30" t="n">
        <x:v>2002</x:v>
      </x:c>
      <x:c r="D53" s="30" t="str">
        <x:v>China</x:v>
      </x:c>
      <x:c r="E53" s="30" t="str">
        <x:v>250-299</x:v>
      </x:c>
      <x:c r="F53" s="34" t="n">
        <x:v>249.5</x:v>
      </x:c>
      <x:c r="G53" s="34" t="n">
        <x:v>299.5</x:v>
      </x:c>
      <x:c r="H53" s="34" t="str">
        <x:v>&lt;100</x:v>
      </x:c>
      <x:c r="I53" s="34" t="n">
        <x:v>0</x:v>
      </x:c>
      <x:c r="J53" s="34" t="n">
        <x:v>99.5</x:v>
      </x:c>
      <x:c r="K53" s="34" t="n">
        <x:v>1.28</x:v>
      </x:c>
      <x:c r="L53" s="34" t="n">
        <x:v>0.8</x:v>
      </x:c>
      <x:c r="M53" s="34" t="n">
        <x:v>1.9</x:v>
      </x:c>
      <x:c r="N53" s="34" t="n">
        <x:f>XLOOKUP(D53,'Country Distributions'!$A$2:$A$10,'Country Distributions'!$C$2:$C$10)</x:f>
        <x:v>20</x:v>
      </x:c>
      <x:c r="O53" s="34" t="n">
        <x:f>XLOOKUP(D53,'Country Distributions'!$A$2:$A$10,'Country Distributions'!$D$2:$D$10)</x:f>
        <x:v>2.2</x:v>
      </x:c>
      <x:c r="P53" s="34" t="n">
        <x:f>LN(K53)</x:f>
        <x:v>0.2468600779315258</x:v>
      </x:c>
      <x:c r="Q53" s="34" t="n">
        <x:f>(LN(M53)-LN(L53))/3.92</x:f>
        <x:v>0.2206626116037256</x:v>
      </x:c>
      <x:c r="R53" s="34" t="n">
        <x:f>$N53*EXP(LN($O53)^2/2)*(IF(G53="",1,NORM.S.DIST((LN(G53)-LN($N53)-LN($O53)^2)/LN($O53),TRUE))-IF(F53=0,0,NORM.S.DIST((LN(F53)-LN($N53)-LN($O53)^2)/LN($O53),TRUE)))/(IF(G53="",1,NORM.S.DIST((LN(G53)-LN($N53))/LN($O53),TRUE))-IF(F53=0,0,NORM.S.DIST((LN(F53)-LN($N53))/LN($O53),TRUE)))</x:f>
        <x:v>270.5829875459006</x:v>
      </x:c>
      <x:c r="S53" s="34" t="n">
        <x:f>$N53*EXP(LN($O53)^2/2)*(IF(J53="",1,NORM.S.DIST((LN(J53)-LN($N53)-LN($O53)^2)/LN($O53),TRUE))-IF(I53=0,0,NORM.S.DIST((LN(I53)-LN($N53)-LN($O53)^2)/LN($O53),TRUE)))/(IF(J53="",1,NORM.S.DIST((LN(J53)-LN($N53))/LN($O53),TRUE))-IF(I53=0,0,NORM.S.DIST((LN(I53)-LN($N53))/LN($O53),TRUE)))</x:f>
        <x:v>24.91150909265102</x:v>
      </x:c>
      <x:c r="T53" s="34" t="n">
        <x:f>R53-S53</x:f>
        <x:v>245.6714784532496</x:v>
      </x:c>
      <x:c r="U53" s="34" t="n">
        <x:f>IF(G53="",1.2*F53,(F53+G53)/2)</x:f>
        <x:v>274.5</x:v>
      </x:c>
      <x:c r="V53" s="34" t="n">
        <x:f>IF(J53="",1.2*I53,(I53+J53)/2)</x:f>
        <x:v>49.75</x:v>
      </x:c>
      <x:c r="W53" s="34" t="n">
        <x:f>U53-V53</x:f>
        <x:v>224.75</x:v>
      </x:c>
      <x:c r="X53" s="30" t="str">
        <x:v>https://www.scielosp.org/pdf/bwho/2003.v81n10/732-738/en</x:v>
      </x:c>
      <x:c r="Y53" s="30" t="str"/>
    </x:row>
    <x:row r="54" ht="15" hidden="0" customHeight="1">
      <x:c r="A54" s="30" t="str">
        <x:v>Wang2002</x:v>
      </x:c>
      <x:c r="B54" s="30" t="str">
        <x:v>Wang et al.</x:v>
      </x:c>
      <x:c r="C54" s="30" t="n">
        <x:v>2002</x:v>
      </x:c>
      <x:c r="D54" s="30" t="str">
        <x:v>China</x:v>
      </x:c>
      <x:c r="E54" s="30" t="str">
        <x:v>&gt;=300</x:v>
      </x:c>
      <x:c r="F54" s="34" t="n">
        <x:v>299.5</x:v>
      </x:c>
      <x:c r="G54" s="34"/>
      <x:c r="H54" s="34" t="str">
        <x:v>&lt;100</x:v>
      </x:c>
      <x:c r="I54" s="34" t="n">
        <x:v>0</x:v>
      </x:c>
      <x:c r="J54" s="34" t="n">
        <x:v>99.5</x:v>
      </x:c>
      <x:c r="K54" s="34" t="n">
        <x:v>1.58</x:v>
      </x:c>
      <x:c r="L54" s="34" t="n">
        <x:v>1.1</x:v>
      </x:c>
      <x:c r="M54" s="34" t="n">
        <x:v>2.3</x:v>
      </x:c>
      <x:c r="N54" s="34" t="n">
        <x:f>XLOOKUP(D54,'Country Distributions'!$A$2:$A$10,'Country Distributions'!$C$2:$C$10)</x:f>
        <x:v>20</x:v>
      </x:c>
      <x:c r="O54" s="34" t="n">
        <x:f>XLOOKUP(D54,'Country Distributions'!$A$2:$A$10,'Country Distributions'!$D$2:$D$10)</x:f>
        <x:v>2.2</x:v>
      </x:c>
      <x:c r="P54" s="34" t="n">
        <x:f>LN(K54)</x:f>
        <x:v>0.4574248470388755</x:v>
      </x:c>
      <x:c r="Q54" s="34" t="n">
        <x:f>(LN(M54)-LN(L54))/3.92</x:f>
        <x:v>0.1881629956966273</x:v>
      </x:c>
      <x:c r="R54" s="34" t="n">
        <x:f>$N54*EXP(LN($O54)^2/2)*(IF(G54="",1,NORM.S.DIST((LN(G54)-LN($N54)-LN($O54)^2)/LN($O54),TRUE))-IF(F54=0,0,NORM.S.DIST((LN(F54)-LN($N54)-LN($O54)^2)/LN($O54),TRUE)))/(IF(G54="",1,NORM.S.DIST((LN(G54)-LN($N54))/LN($O54),TRUE))-IF(F54=0,0,NORM.S.DIST((LN(F54)-LN($N54))/LN($O54),TRUE)))</x:f>
        <x:v>373.84624323833475</x:v>
      </x:c>
      <x:c r="S54" s="34" t="n">
        <x:f>$N54*EXP(LN($O54)^2/2)*(IF(J54="",1,NORM.S.DIST((LN(J54)-LN($N54)-LN($O54)^2)/LN($O54),TRUE))-IF(I54=0,0,NORM.S.DIST((LN(I54)-LN($N54)-LN($O54)^2)/LN($O54),TRUE)))/(IF(J54="",1,NORM.S.DIST((LN(J54)-LN($N54))/LN($O54),TRUE))-IF(I54=0,0,NORM.S.DIST((LN(I54)-LN($N54))/LN($O54),TRUE)))</x:f>
        <x:v>24.91150909265102</x:v>
      </x:c>
      <x:c r="T54" s="34" t="n">
        <x:f>R54-S54</x:f>
        <x:v>348.9347341456837</x:v>
      </x:c>
      <x:c r="U54" s="34" t="n">
        <x:f>IF(G54="",1.2*F54,(F54+G54)/2)</x:f>
        <x:v>359.4</x:v>
      </x:c>
      <x:c r="V54" s="34" t="n">
        <x:f>IF(J54="",1.2*I54,(I54+J54)/2)</x:f>
        <x:v>49.75</x:v>
      </x:c>
      <x:c r="W54" s="34" t="n">
        <x:f>U54-V54</x:f>
        <x:v>309.65</x:v>
      </x:c>
      <x:c r="X54" s="30" t="str">
        <x:v>https://www.scielosp.org/pdf/bwho/2003.v81n10/732-738/en</x:v>
      </x:c>
      <x:c r="Y54" s="30" t="str">
        <x:v>Right-unbounded comparison support</x:v>
      </x:c>
    </x:row>
    <x:row r="55" ht="15" hidden="0" customHeight="1">
      <x:c r="A55" s="30" t="str">
        <x:v>BarrosDios2002</x:v>
      </x:c>
      <x:c r="B55" s="30" t="str">
        <x:v>Barros-Dios et al.</x:v>
      </x:c>
      <x:c r="C55" s="30" t="n">
        <x:v>2002</x:v>
      </x:c>
      <x:c r="D55" s="30" t="str">
        <x:v>Spain</x:v>
      </x:c>
      <x:c r="E55" s="30" t="str">
        <x:v>37-55.1</x:v>
      </x:c>
      <x:c r="F55" s="34" t="n">
        <x:v>37</x:v>
      </x:c>
      <x:c r="G55" s="34" t="n">
        <x:v>55.2</x:v>
      </x:c>
      <x:c r="H55" s="34" t="str">
        <x:v>0-37</x:v>
      </x:c>
      <x:c r="I55" s="34" t="n">
        <x:v>0</x:v>
      </x:c>
      <x:c r="J55" s="34" t="n">
        <x:v>37</x:v>
      </x:c>
      <x:c r="K55" s="34" t="n">
        <x:v>2.73</x:v>
      </x:c>
      <x:c r="L55" s="34" t="n">
        <x:v>1.12</x:v>
      </x:c>
      <x:c r="M55" s="34" t="n">
        <x:v>5.48</x:v>
      </x:c>
      <x:c r="N55" s="34" t="n">
        <x:f>XLOOKUP(D55,'Country Distributions'!$A$2:$A$10,'Country Distributions'!$C$2:$C$10)</x:f>
        <x:v>46</x:v>
      </x:c>
      <x:c r="O55" s="34" t="n">
        <x:f>XLOOKUP(D55,'Country Distributions'!$A$2:$A$10,'Country Distributions'!$D$2:$D$10)</x:f>
        <x:v>2.9</x:v>
      </x:c>
      <x:c r="P55" s="34" t="n">
        <x:f>LN(K55)</x:f>
        <x:v>1.0043016091968684</x:v>
      </x:c>
      <x:c r="Q55" s="34" t="n">
        <x:f>(LN(M55)-LN(L55))/3.92</x:f>
        <x:v>0.4050450039930921</x:v>
      </x:c>
      <x:c r="R55" s="34" t="n">
        <x:f>$N55*EXP(LN($O55)^2/2)*(IF(G55="",1,NORM.S.DIST((LN(G55)-LN($N55)-LN($O55)^2)/LN($O55),TRUE))-IF(F55=0,0,NORM.S.DIST((LN(F55)-LN($N55)-LN($O55)^2)/LN($O55),TRUE)))/(IF(G55="",1,NORM.S.DIST((LN(G55)-LN($N55))/LN($O55),TRUE))-IF(F55=0,0,NORM.S.DIST((LN(F55)-LN($N55))/LN($O55),TRUE)))</x:f>
        <x:v>45.50286216597257</x:v>
      </x:c>
      <x:c r="S55" s="34" t="n">
        <x:f>$N55*EXP(LN($O55)^2/2)*(IF(J55="",1,NORM.S.DIST((LN(J55)-LN($N55)-LN($O55)^2)/LN($O55),TRUE))-IF(I55=0,0,NORM.S.DIST((LN(I55)-LN($N55)-LN($O55)^2)/LN($O55),TRUE)))/(IF(J55="",1,NORM.S.DIST((LN(J55)-LN($N55))/LN($O55),TRUE))-IF(I55=0,0,NORM.S.DIST((LN(I55)-LN($N55))/LN($O55),TRUE)))</x:f>
        <x:v>19.774471244234658</x:v>
      </x:c>
      <x:c r="T55" s="34" t="n">
        <x:f>R55-S55</x:f>
        <x:v>25.728390921737915</x:v>
      </x:c>
      <x:c r="U55" s="34" t="n">
        <x:f>IF(G55="",1.2*F55,(F55+G55)/2)</x:f>
        <x:v>46.1</x:v>
      </x:c>
      <x:c r="V55" s="34" t="n">
        <x:f>IF(J55="",1.2*I55,(I55+J55)/2)</x:f>
        <x:v>18.5</x:v>
      </x:c>
      <x:c r="W55" s="34" t="n">
        <x:f>U55-V55</x:f>
        <x:v>27.6</x:v>
      </x:c>
      <x:c r="X55" s="30" t="str">
        <x:v>https://www.scielosp.org/pdf/bwho/2003.v81n10/732-738/en</x:v>
      </x:c>
      <x:c r="Y55" s="30" t="str"/>
    </x:row>
    <x:row r="56" ht="15" hidden="0" customHeight="1">
      <x:c r="A56" s="30" t="str">
        <x:v>BarrosDios2002</x:v>
      </x:c>
      <x:c r="B56" s="30" t="str">
        <x:v>Barros-Dios et al.</x:v>
      </x:c>
      <x:c r="C56" s="30" t="n">
        <x:v>2002</x:v>
      </x:c>
      <x:c r="D56" s="30" t="str">
        <x:v>Spain</x:v>
      </x:c>
      <x:c r="E56" s="30" t="str">
        <x:v>55.2-147.9</x:v>
      </x:c>
      <x:c r="F56" s="34" t="n">
        <x:v>55.2</x:v>
      </x:c>
      <x:c r="G56" s="34" t="n">
        <x:v>148</x:v>
      </x:c>
      <x:c r="H56" s="34" t="str">
        <x:v>0-37</x:v>
      </x:c>
      <x:c r="I56" s="34" t="n">
        <x:v>0</x:v>
      </x:c>
      <x:c r="J56" s="34" t="n">
        <x:v>37</x:v>
      </x:c>
      <x:c r="K56" s="34" t="n">
        <x:v>2.48</x:v>
      </x:c>
      <x:c r="L56" s="34" t="n">
        <x:v>1.29</x:v>
      </x:c>
      <x:c r="M56" s="34" t="n">
        <x:v>6.79</x:v>
      </x:c>
      <x:c r="N56" s="34" t="n">
        <x:f>XLOOKUP(D56,'Country Distributions'!$A$2:$A$10,'Country Distributions'!$C$2:$C$10)</x:f>
        <x:v>46</x:v>
      </x:c>
      <x:c r="O56" s="34" t="n">
        <x:f>XLOOKUP(D56,'Country Distributions'!$A$2:$A$10,'Country Distributions'!$D$2:$D$10)</x:f>
        <x:v>2.9</x:v>
      </x:c>
      <x:c r="P56" s="34" t="n">
        <x:f>LN(K56)</x:f>
        <x:v>0.9082585601768908</x:v>
      </x:c>
      <x:c r="Q56" s="34" t="n">
        <x:f>(LN(M56)-LN(L56))/3.92</x:f>
        <x:v>0.42367569469311833</x:v>
      </x:c>
      <x:c r="R56" s="34" t="n">
        <x:f>$N56*EXP(LN($O56)^2/2)*(IF(G56="",1,NORM.S.DIST((LN(G56)-LN($N56)-LN($O56)^2)/LN($O56),TRUE))-IF(F56=0,0,NORM.S.DIST((LN(F56)-LN($N56)-LN($O56)^2)/LN($O56),TRUE)))/(IF(G56="",1,NORM.S.DIST((LN(G56)-LN($N56))/LN($O56),TRUE))-IF(F56=0,0,NORM.S.DIST((LN(F56)-LN($N56))/LN($O56),TRUE)))</x:f>
        <x:v>89.70881921240002</x:v>
      </x:c>
      <x:c r="S56" s="34" t="n">
        <x:f>$N56*EXP(LN($O56)^2/2)*(IF(J56="",1,NORM.S.DIST((LN(J56)-LN($N56)-LN($O56)^2)/LN($O56),TRUE))-IF(I56=0,0,NORM.S.DIST((LN(I56)-LN($N56)-LN($O56)^2)/LN($O56),TRUE)))/(IF(J56="",1,NORM.S.DIST((LN(J56)-LN($N56))/LN($O56),TRUE))-IF(I56=0,0,NORM.S.DIST((LN(I56)-LN($N56))/LN($O56),TRUE)))</x:f>
        <x:v>19.774471244234658</x:v>
      </x:c>
      <x:c r="T56" s="34" t="n">
        <x:f>R56-S56</x:f>
        <x:v>69.93434796816535</x:v>
      </x:c>
      <x:c r="U56" s="34" t="n">
        <x:f>IF(G56="",1.2*F56,(F56+G56)/2)</x:f>
        <x:v>101.6</x:v>
      </x:c>
      <x:c r="V56" s="34" t="n">
        <x:f>IF(J56="",1.2*I56,(I56+J56)/2)</x:f>
        <x:v>18.5</x:v>
      </x:c>
      <x:c r="W56" s="34" t="n">
        <x:f>U56-V56</x:f>
        <x:v>83.1</x:v>
      </x:c>
      <x:c r="X56" s="30" t="str">
        <x:v>https://www.scielosp.org/pdf/bwho/2003.v81n10/732-738/en</x:v>
      </x:c>
      <x:c r="Y56" s="30" t="str"/>
    </x:row>
    <x:row r="57" ht="15" hidden="0" customHeight="1">
      <x:c r="A57" s="30" t="str">
        <x:v>BarrosDios2002</x:v>
      </x:c>
      <x:c r="B57" s="30" t="str">
        <x:v>Barros-Dios et al.</x:v>
      </x:c>
      <x:c r="C57" s="30" t="n">
        <x:v>2002</x:v>
      </x:c>
      <x:c r="D57" s="30" t="str">
        <x:v>Spain</x:v>
      </x:c>
      <x:c r="E57" s="30" t="str">
        <x:v>&gt;=148</x:v>
      </x:c>
      <x:c r="F57" s="34" t="n">
        <x:v>148</x:v>
      </x:c>
      <x:c r="G57" s="34"/>
      <x:c r="H57" s="34" t="str">
        <x:v>0-37</x:v>
      </x:c>
      <x:c r="I57" s="34" t="n">
        <x:v>0</x:v>
      </x:c>
      <x:c r="J57" s="34" t="n">
        <x:v>37</x:v>
      </x:c>
      <x:c r="K57" s="34" t="n">
        <x:v>2.96</x:v>
      </x:c>
      <x:c r="L57" s="34" t="n">
        <x:v>1.29</x:v>
      </x:c>
      <x:c r="M57" s="34" t="n">
        <x:v>6.79</x:v>
      </x:c>
      <x:c r="N57" s="34" t="n">
        <x:f>XLOOKUP(D57,'Country Distributions'!$A$2:$A$10,'Country Distributions'!$C$2:$C$10)</x:f>
        <x:v>46</x:v>
      </x:c>
      <x:c r="O57" s="34" t="n">
        <x:f>XLOOKUP(D57,'Country Distributions'!$A$2:$A$10,'Country Distributions'!$D$2:$D$10)</x:f>
        <x:v>2.9</x:v>
      </x:c>
      <x:c r="P57" s="34" t="n">
        <x:f>LN(K57)</x:f>
        <x:v>1.085189268335969</x:v>
      </x:c>
      <x:c r="Q57" s="34" t="n">
        <x:f>(LN(M57)-LN(L57))/3.92</x:f>
        <x:v>0.42367569469311833</x:v>
      </x:c>
      <x:c r="R57" s="34" t="n">
        <x:f>$N57*EXP(LN($O57)^2/2)*(IF(G57="",1,NORM.S.DIST((LN(G57)-LN($N57)-LN($O57)^2)/LN($O57),TRUE))-IF(F57=0,0,NORM.S.DIST((LN(F57)-LN($N57)-LN($O57)^2)/LN($O57),TRUE)))/(IF(G57="",1,NORM.S.DIST((LN(G57)-LN($N57))/LN($O57),TRUE))-IF(F57=0,0,NORM.S.DIST((LN(F57)-LN($N57))/LN($O57),TRUE)))</x:f>
        <x:v>289.85404913717747</x:v>
      </x:c>
      <x:c r="S57" s="34" t="n">
        <x:f>$N57*EXP(LN($O57)^2/2)*(IF(J57="",1,NORM.S.DIST((LN(J57)-LN($N57)-LN($O57)^2)/LN($O57),TRUE))-IF(I57=0,0,NORM.S.DIST((LN(I57)-LN($N57)-LN($O57)^2)/LN($O57),TRUE)))/(IF(J57="",1,NORM.S.DIST((LN(J57)-LN($N57))/LN($O57),TRUE))-IF(I57=0,0,NORM.S.DIST((LN(I57)-LN($N57))/LN($O57),TRUE)))</x:f>
        <x:v>19.774471244234658</x:v>
      </x:c>
      <x:c r="T57" s="34" t="n">
        <x:f>R57-S57</x:f>
        <x:v>270.07957789294284</x:v>
      </x:c>
      <x:c r="U57" s="34" t="n">
        <x:f>IF(G57="",1.2*F57,(F57+G57)/2)</x:f>
        <x:v>177.6</x:v>
      </x:c>
      <x:c r="V57" s="34" t="n">
        <x:f>IF(J57="",1.2*I57,(I57+J57)/2)</x:f>
        <x:v>18.5</x:v>
      </x:c>
      <x:c r="W57" s="34" t="n">
        <x:f>U57-V57</x:f>
        <x:v>159.1</x:v>
      </x:c>
      <x:c r="X57" s="30" t="str">
        <x:v>https://www.scielosp.org/pdf/bwho/2003.v81n10/732-738/en</x:v>
      </x:c>
      <x:c r="Y57" s="30" t="str">
        <x:v>Right-unbounded comparison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c00c45545cb04a4a"/>
  </x:tableParts>
</x:worksheet>
</file>